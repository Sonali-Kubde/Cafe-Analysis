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8_{76251D80-C301-42DA-B2F9-E62B9456DA1A}" xr6:coauthVersionLast="47" xr6:coauthVersionMax="47" xr10:uidLastSave="{00000000-0000-0000-0000-000000000000}"/>
  <bookViews>
    <workbookView xWindow="-120" yWindow="-120" windowWidth="29040" windowHeight="15720" activeTab="4" xr2:uid="{09B23E86-5374-4CED-AABE-7A6E1FEC6C12}"/>
  </bookViews>
  <sheets>
    <sheet name="3e" sheetId="1" r:id="rId1"/>
    <sheet name="3f Ringwood Raw Data" sheetId="2" r:id="rId2"/>
    <sheet name="3f Glen Waverley Raw Data" sheetId="3" r:id="rId3"/>
    <sheet name="3f Werribee Raw Data" sheetId="4" r:id="rId4"/>
    <sheet name="3f Gift Shop Sales Summary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4" l="1"/>
  <c r="F16" i="4"/>
  <c r="F15" i="4"/>
  <c r="F14" i="4"/>
  <c r="F13" i="4"/>
  <c r="F12" i="4"/>
  <c r="F11" i="4"/>
  <c r="F10" i="4"/>
  <c r="F9" i="4"/>
  <c r="F8" i="4"/>
  <c r="F7" i="4"/>
  <c r="F6" i="4"/>
  <c r="F17" i="3"/>
  <c r="F16" i="3"/>
  <c r="F15" i="3"/>
  <c r="F14" i="3"/>
  <c r="F13" i="3"/>
  <c r="F12" i="3"/>
  <c r="F11" i="3"/>
  <c r="F10" i="3"/>
  <c r="F9" i="3"/>
  <c r="F8" i="3"/>
  <c r="F7" i="3"/>
  <c r="F6" i="3"/>
  <c r="F7" i="2"/>
  <c r="F8" i="2"/>
  <c r="F9" i="2"/>
  <c r="F10" i="2"/>
  <c r="F11" i="2"/>
  <c r="F12" i="2"/>
  <c r="F13" i="2"/>
  <c r="F14" i="2"/>
  <c r="F15" i="2"/>
  <c r="F16" i="2"/>
  <c r="F17" i="2"/>
  <c r="F6" i="2"/>
  <c r="I12" i="5"/>
  <c r="J12" i="5"/>
  <c r="H12" i="5"/>
  <c r="H8" i="5"/>
  <c r="I8" i="5"/>
  <c r="J8" i="5"/>
  <c r="H9" i="5"/>
  <c r="I9" i="5"/>
  <c r="J9" i="5"/>
  <c r="H10" i="5"/>
  <c r="I10" i="5"/>
  <c r="J10" i="5"/>
  <c r="C16" i="1"/>
  <c r="D9" i="1"/>
  <c r="D10" i="1"/>
  <c r="D6" i="1"/>
  <c r="D13" i="1"/>
  <c r="D5" i="1"/>
  <c r="D14" i="1"/>
  <c r="D11" i="1"/>
  <c r="D7" i="1"/>
  <c r="D12" i="1"/>
  <c r="D8" i="1"/>
</calcChain>
</file>

<file path=xl/sharedStrings.xml><?xml version="1.0" encoding="utf-8"?>
<sst xmlns="http://schemas.openxmlformats.org/spreadsheetml/2006/main" count="82" uniqueCount="44">
  <si>
    <t>EMPLOYEE BONUS DATA</t>
  </si>
  <si>
    <t>Name of Employee</t>
  </si>
  <si>
    <t>Total Sales</t>
  </si>
  <si>
    <t>Priyani</t>
  </si>
  <si>
    <t>Sue</t>
  </si>
  <si>
    <t>Jeptah</t>
  </si>
  <si>
    <t>Fiona</t>
  </si>
  <si>
    <t>Stephanie</t>
  </si>
  <si>
    <t>Lily</t>
  </si>
  <si>
    <t>Mishka</t>
  </si>
  <si>
    <t>Ben</t>
  </si>
  <si>
    <t>Saxon</t>
  </si>
  <si>
    <t>Darryl</t>
  </si>
  <si>
    <t>Sort Priority</t>
  </si>
  <si>
    <t xml:space="preserve">Average </t>
  </si>
  <si>
    <t>Product Name</t>
  </si>
  <si>
    <t>Sales</t>
  </si>
  <si>
    <t>January</t>
  </si>
  <si>
    <t>February</t>
  </si>
  <si>
    <t>March</t>
  </si>
  <si>
    <t>Joe Denby Art &amp; Craft</t>
  </si>
  <si>
    <t>Chasseur Pot Range</t>
  </si>
  <si>
    <t>LT Smith Haberdashery</t>
  </si>
  <si>
    <t>Enviro Skincare</t>
  </si>
  <si>
    <t>Opal Umbrellas</t>
  </si>
  <si>
    <t>Graeme North Art</t>
  </si>
  <si>
    <t>Penguin Books</t>
  </si>
  <si>
    <t>Gumnut Stationery</t>
  </si>
  <si>
    <t>Jane Moran Ceramics</t>
  </si>
  <si>
    <t>Celltra Skincare</t>
  </si>
  <si>
    <t>Ruby Doormats</t>
  </si>
  <si>
    <t>Magnolia Mirrors</t>
  </si>
  <si>
    <t>Gift Shop</t>
  </si>
  <si>
    <t xml:space="preserve">February </t>
  </si>
  <si>
    <t>Monthly Sales Result</t>
  </si>
  <si>
    <t>Ringwood</t>
  </si>
  <si>
    <t>Werribee</t>
  </si>
  <si>
    <t xml:space="preserve">Glen Waverley </t>
  </si>
  <si>
    <t>Total Monthly Sales</t>
  </si>
  <si>
    <t xml:space="preserve">Sum </t>
  </si>
  <si>
    <t>Ringwood Raw Data</t>
  </si>
  <si>
    <t>Glen Waverly Raw Data</t>
  </si>
  <si>
    <t>Weribee Raw Data</t>
  </si>
  <si>
    <t>Gift Shop Sales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</si>
</sst>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5C]#,##0.00"/>
  </numFmts>
  <fonts count="9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color theme="1"/>
      <name val="Courier New"/>
      <family val="3"/>
    </font>
    <font>
      <sz val="10"/>
      <color rgb="FF000000"/>
      <name val="Arial"/>
      <family val="2"/>
    </font>
    <font>
      <b/>
      <sz val="12"/>
      <color theme="1"/>
      <name val="Calibri"/>
      <family val="2"/>
    </font>
    <font>
      <b/>
      <sz val="14"/>
      <color theme="0"/>
      <name val="Garamond"/>
      <family val="1"/>
    </font>
    <font>
      <b/>
      <u/>
      <sz val="11"/>
      <color theme="1"/>
      <name val="Calibri"/>
      <family val="2"/>
    </font>
    <font>
      <b/>
      <sz val="14"/>
      <color rgb="FF0070C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justify" vertical="center"/>
    </xf>
    <xf numFmtId="0" fontId="2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left"/>
    </xf>
    <xf numFmtId="0" fontId="5" fillId="0" borderId="0" xfId="0" applyFont="1"/>
    <xf numFmtId="10" fontId="0" fillId="0" borderId="0" xfId="0" applyNumberFormat="1"/>
    <xf numFmtId="164" fontId="1" fillId="0" borderId="0" xfId="0" applyNumberFormat="1" applyFont="1"/>
    <xf numFmtId="0" fontId="6" fillId="2" borderId="0" xfId="0" applyFont="1" applyFill="1"/>
    <xf numFmtId="164" fontId="0" fillId="0" borderId="0" xfId="0" applyNumberFormat="1"/>
    <xf numFmtId="0" fontId="5" fillId="0" borderId="5" xfId="0" applyFont="1" applyBorder="1"/>
    <xf numFmtId="0" fontId="1" fillId="0" borderId="4" xfId="0" applyFont="1" applyBorder="1"/>
    <xf numFmtId="164" fontId="1" fillId="0" borderId="5" xfId="0" applyNumberFormat="1" applyFont="1" applyBorder="1"/>
    <xf numFmtId="0" fontId="1" fillId="0" borderId="5" xfId="0" applyFont="1" applyBorder="1"/>
    <xf numFmtId="0" fontId="1" fillId="0" borderId="6" xfId="0" applyFont="1" applyBorder="1"/>
    <xf numFmtId="10" fontId="7" fillId="0" borderId="7" xfId="0" applyNumberFormat="1" applyFont="1" applyBorder="1"/>
    <xf numFmtId="10" fontId="7" fillId="0" borderId="8" xfId="0" applyNumberFormat="1" applyFont="1" applyBorder="1"/>
    <xf numFmtId="0" fontId="5" fillId="0" borderId="3" xfId="0" applyFont="1" applyBorder="1"/>
    <xf numFmtId="9" fontId="1" fillId="0" borderId="5" xfId="0" applyNumberFormat="1" applyFont="1" applyBorder="1"/>
    <xf numFmtId="164" fontId="1" fillId="0" borderId="7" xfId="0" applyNumberFormat="1" applyFont="1" applyBorder="1"/>
    <xf numFmtId="9" fontId="1" fillId="0" borderId="8" xfId="0" applyNumberFormat="1" applyFont="1" applyBorder="1"/>
    <xf numFmtId="0" fontId="8" fillId="0" borderId="0" xfId="0" applyFont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Monthly</a:t>
            </a:r>
            <a:r>
              <a:rPr lang="en-IN" baseline="0"/>
              <a:t> Sales Result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'3f Gift Shop Sales Summary'!$G$8</c:f>
              <c:strCache>
                <c:ptCount val="1"/>
                <c:pt idx="0">
                  <c:v>Ringwood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2.672605790645879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BC-47BA-B598-BD05BCD1AF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'3f Gift Shop Sales Summary'!$H$6:$J$7</c:f>
              <c:multiLvlStrCache>
                <c:ptCount val="3"/>
                <c:lvl>
                  <c:pt idx="0">
                    <c:v>January</c:v>
                  </c:pt>
                  <c:pt idx="1">
                    <c:v>February </c:v>
                  </c:pt>
                  <c:pt idx="2">
                    <c:v>March</c:v>
                  </c:pt>
                </c:lvl>
                <c:lvl>
                  <c:pt idx="0">
                    <c:v>Monthly Sales Result</c:v>
                  </c:pt>
                </c:lvl>
              </c:multiLvlStrCache>
            </c:multiLvlStrRef>
          </c:cat>
          <c:val>
            <c:numRef>
              <c:f>'3f Gift Shop Sales Summary'!$H$8:$J$8</c:f>
              <c:numCache>
                <c:formatCode>[$$-45C]#,##0.00</c:formatCode>
                <c:ptCount val="3"/>
                <c:pt idx="0">
                  <c:v>17696</c:v>
                </c:pt>
                <c:pt idx="1">
                  <c:v>19623</c:v>
                </c:pt>
                <c:pt idx="2">
                  <c:v>17218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C-47BA-B598-BD05BCD1AF9E}"/>
            </c:ext>
          </c:extLst>
        </c:ser>
        <c:ser>
          <c:idx val="1"/>
          <c:order val="1"/>
          <c:tx>
            <c:strRef>
              <c:f>'3f Gift Shop Sales Summary'!$G$9</c:f>
              <c:strCache>
                <c:ptCount val="1"/>
                <c:pt idx="0">
                  <c:v>Glen Waverley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'3f Gift Shop Sales Summary'!$H$6:$J$7</c:f>
              <c:multiLvlStrCache>
                <c:ptCount val="3"/>
                <c:lvl>
                  <c:pt idx="0">
                    <c:v>January</c:v>
                  </c:pt>
                  <c:pt idx="1">
                    <c:v>February </c:v>
                  </c:pt>
                  <c:pt idx="2">
                    <c:v>March</c:v>
                  </c:pt>
                </c:lvl>
                <c:lvl>
                  <c:pt idx="0">
                    <c:v>Monthly Sales Result</c:v>
                  </c:pt>
                </c:lvl>
              </c:multiLvlStrCache>
            </c:multiLvlStrRef>
          </c:cat>
          <c:val>
            <c:numRef>
              <c:f>'3f Gift Shop Sales Summary'!$H$9:$J$9</c:f>
              <c:numCache>
                <c:formatCode>[$$-45C]#,##0.00</c:formatCode>
                <c:ptCount val="3"/>
                <c:pt idx="0">
                  <c:v>15661</c:v>
                </c:pt>
                <c:pt idx="1">
                  <c:v>16038</c:v>
                </c:pt>
                <c:pt idx="2">
                  <c:v>17346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BC-47BA-B598-BD05BCD1AF9E}"/>
            </c:ext>
          </c:extLst>
        </c:ser>
        <c:ser>
          <c:idx val="2"/>
          <c:order val="2"/>
          <c:tx>
            <c:strRef>
              <c:f>'3f Gift Shop Sales Summary'!$G$10</c:f>
              <c:strCache>
                <c:ptCount val="1"/>
                <c:pt idx="0">
                  <c:v>Werribee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'3f Gift Shop Sales Summary'!$H$6:$J$7</c:f>
              <c:multiLvlStrCache>
                <c:ptCount val="3"/>
                <c:lvl>
                  <c:pt idx="0">
                    <c:v>January</c:v>
                  </c:pt>
                  <c:pt idx="1">
                    <c:v>February </c:v>
                  </c:pt>
                  <c:pt idx="2">
                    <c:v>March</c:v>
                  </c:pt>
                </c:lvl>
                <c:lvl>
                  <c:pt idx="0">
                    <c:v>Monthly Sales Result</c:v>
                  </c:pt>
                </c:lvl>
              </c:multiLvlStrCache>
            </c:multiLvlStrRef>
          </c:cat>
          <c:val>
            <c:numRef>
              <c:f>'3f Gift Shop Sales Summary'!$H$10:$J$10</c:f>
              <c:numCache>
                <c:formatCode>[$$-45C]#,##0.00</c:formatCode>
                <c:ptCount val="3"/>
                <c:pt idx="0">
                  <c:v>17394</c:v>
                </c:pt>
                <c:pt idx="1">
                  <c:v>16483</c:v>
                </c:pt>
                <c:pt idx="2">
                  <c:v>20579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C-47BA-B598-BD05BCD1AF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24358976"/>
        <c:axId val="624360416"/>
      </c:barChart>
      <c:catAx>
        <c:axId val="62435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360416"/>
        <c:crosses val="autoZero"/>
        <c:auto val="1"/>
        <c:lblAlgn val="ctr"/>
        <c:lblOffset val="100"/>
        <c:noMultiLvlLbl val="0"/>
      </c:catAx>
      <c:valAx>
        <c:axId val="62436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5C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358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600076</xdr:colOff>
      <xdr:row>3</xdr:row>
      <xdr:rowOff>28575</xdr:rowOff>
    </xdr:from>
    <xdr:to>
      <xdr:col>5</xdr:col>
      <xdr:colOff>371475</xdr:colOff>
      <xdr:row>20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7034E7-7371-57E4-04BF-D5593FB772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E198E-C1BA-4277-9BED-63DF9AEDD795}">
  <sheetPr codeName="Sheet1">
    <pageSetUpPr fitToPage="1"/>
  </sheetPr>
  <dimension ref="A1:D16"/>
  <sheetViews>
    <sheetView view="pageLayout" zoomScaleNormal="100" workbookViewId="0">
      <selection activeCell="G13" sqref="G13"/>
    </sheetView>
  </sheetViews>
  <sheetFormatPr defaultRowHeight="14.25"/>
  <cols>
    <col min="2" max="3" width="23.875" customWidth="1"/>
    <col min="4" max="4" width="43.125" hidden="1" customWidth="1"/>
  </cols>
  <sheetData>
    <row r="1" spans="1:4" s="6" customFormat="1" ht="15" customHeight="1">
      <c r="A1" s="23" t="s">
        <v>0</v>
      </c>
    </row>
    <row r="2" spans="1:4" s="6" customFormat="1"/>
    <row r="4" spans="1:4" ht="15.75">
      <c r="B4" s="7" t="s">
        <v>1</v>
      </c>
      <c r="C4" s="7" t="s">
        <v>2</v>
      </c>
      <c r="D4" t="s">
        <v>13</v>
      </c>
    </row>
    <row r="5" spans="1:4" ht="15">
      <c r="B5" s="5" t="s">
        <v>8</v>
      </c>
      <c r="C5" s="9">
        <v>2134</v>
      </c>
      <c r="D5" s="2">
        <f t="shared" ref="D5:D14" si="0">IF(C5&gt;=2000,1,IF(C5&lt;500,3,2))</f>
        <v>1</v>
      </c>
    </row>
    <row r="6" spans="1:4" ht="15">
      <c r="B6" s="5" t="s">
        <v>6</v>
      </c>
      <c r="C6" s="9">
        <v>2224</v>
      </c>
      <c r="D6" s="2">
        <f t="shared" si="0"/>
        <v>1</v>
      </c>
    </row>
    <row r="7" spans="1:4" ht="15">
      <c r="B7" s="5" t="s">
        <v>11</v>
      </c>
      <c r="C7" s="9">
        <v>2358</v>
      </c>
      <c r="D7" s="2">
        <f t="shared" si="0"/>
        <v>1</v>
      </c>
    </row>
    <row r="8" spans="1:4" ht="15">
      <c r="B8" s="5" t="s">
        <v>3</v>
      </c>
      <c r="C8" s="9">
        <v>2400</v>
      </c>
      <c r="D8" s="2">
        <f t="shared" si="0"/>
        <v>1</v>
      </c>
    </row>
    <row r="9" spans="1:4" ht="15">
      <c r="B9" s="5" t="s">
        <v>4</v>
      </c>
      <c r="C9" s="9">
        <v>843</v>
      </c>
      <c r="D9" s="2">
        <f t="shared" si="0"/>
        <v>2</v>
      </c>
    </row>
    <row r="10" spans="1:4" ht="15">
      <c r="B10" s="5" t="s">
        <v>5</v>
      </c>
      <c r="C10" s="9">
        <v>980</v>
      </c>
      <c r="D10" s="2">
        <f t="shared" si="0"/>
        <v>2</v>
      </c>
    </row>
    <row r="11" spans="1:4" ht="15">
      <c r="B11" s="5" t="s">
        <v>10</v>
      </c>
      <c r="C11" s="9">
        <v>1008</v>
      </c>
      <c r="D11" s="2">
        <f t="shared" si="0"/>
        <v>2</v>
      </c>
    </row>
    <row r="12" spans="1:4" ht="15">
      <c r="B12" s="5" t="s">
        <v>12</v>
      </c>
      <c r="C12" s="9">
        <v>1778</v>
      </c>
      <c r="D12" s="2">
        <f t="shared" si="0"/>
        <v>2</v>
      </c>
    </row>
    <row r="13" spans="1:4" ht="15">
      <c r="B13" s="5" t="s">
        <v>7</v>
      </c>
      <c r="C13" s="9">
        <v>1987</v>
      </c>
      <c r="D13" s="2">
        <f t="shared" si="0"/>
        <v>2</v>
      </c>
    </row>
    <row r="14" spans="1:4" ht="15">
      <c r="B14" s="5" t="s">
        <v>9</v>
      </c>
      <c r="C14" s="9">
        <v>98</v>
      </c>
      <c r="D14" s="2">
        <f t="shared" si="0"/>
        <v>3</v>
      </c>
    </row>
    <row r="15" spans="1:4" ht="15">
      <c r="B15" s="5"/>
      <c r="C15" s="9"/>
    </row>
    <row r="16" spans="1:4" ht="15">
      <c r="B16" s="5" t="s">
        <v>14</v>
      </c>
      <c r="C16" s="9">
        <f>AVERAGE(C5:C14)</f>
        <v>1581</v>
      </c>
    </row>
  </sheetData>
  <sortState xmlns:xlrd2="http://schemas.microsoft.com/office/spreadsheetml/2017/richdata2" ref="B5:D14">
    <sortCondition ref="D5:D14"/>
  </sortState>
  <conditionalFormatting sqref="B5:B14 B16">
    <cfRule type="expression" dxfId="1" priority="1">
      <formula>$C5 &lt; 500</formula>
    </cfRule>
    <cfRule type="expression" dxfId="0" priority="2">
      <formula>$C5 &gt;=2000</formula>
    </cfRule>
    <cfRule type="expression" priority="3">
      <formula>$C5 &gt;=2000</formula>
    </cfRule>
  </conditionalFormatting>
  <pageMargins left="0.70866141732283472" right="0.70866141732283472" top="0.74803149606299213" bottom="0.74803149606299213" header="0.31496062992125984" footer="0.31496062992125984"/>
  <pageSetup orientation="landscape" r:id="rId1"/>
  <headerFooter>
    <oddHeader>&amp;R&amp;G</oddHeader>
    <oddFooter>&amp;LEva Fitzpatrick
16 May 2024&amp;R&amp;P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64DA9-AE02-4F6D-8223-73C0A5AC1A2E}">
  <sheetPr codeName="Sheet2">
    <pageSetUpPr fitToPage="1"/>
  </sheetPr>
  <dimension ref="A1:F20"/>
  <sheetViews>
    <sheetView view="pageLayout" zoomScaleNormal="100" workbookViewId="0">
      <selection activeCell="E21" sqref="E21"/>
    </sheetView>
  </sheetViews>
  <sheetFormatPr defaultRowHeight="14.25"/>
  <cols>
    <col min="1" max="1" width="25.25" customWidth="1"/>
    <col min="2" max="2" width="39.25" customWidth="1"/>
    <col min="3" max="3" width="20.125" customWidth="1"/>
    <col min="4" max="4" width="24.75" customWidth="1"/>
    <col min="5" max="5" width="29" customWidth="1"/>
    <col min="6" max="6" width="10.125" bestFit="1" customWidth="1"/>
  </cols>
  <sheetData>
    <row r="1" spans="1:6" ht="18.75">
      <c r="A1" s="10" t="s">
        <v>40</v>
      </c>
    </row>
    <row r="3" spans="1:6" s="1" customFormat="1"/>
    <row r="4" spans="1:6" ht="15.75">
      <c r="B4" s="24" t="s">
        <v>15</v>
      </c>
      <c r="C4" s="26" t="s">
        <v>16</v>
      </c>
      <c r="D4" s="26"/>
      <c r="E4" s="26"/>
      <c r="F4" s="19"/>
    </row>
    <row r="5" spans="1:6" ht="15.75">
      <c r="B5" s="25"/>
      <c r="C5" s="7" t="s">
        <v>17</v>
      </c>
      <c r="D5" s="7" t="s">
        <v>18</v>
      </c>
      <c r="E5" s="7" t="s">
        <v>19</v>
      </c>
      <c r="F5" s="12" t="s">
        <v>39</v>
      </c>
    </row>
    <row r="6" spans="1:6" ht="15">
      <c r="B6" s="13" t="s">
        <v>20</v>
      </c>
      <c r="C6" s="9">
        <v>7040</v>
      </c>
      <c r="D6" s="9">
        <v>6789</v>
      </c>
      <c r="E6" s="9">
        <v>6090</v>
      </c>
      <c r="F6" s="20">
        <f>SUM(C6:E6)/SUM($C$6:$E$17)</f>
        <v>0.36523827859984964</v>
      </c>
    </row>
    <row r="7" spans="1:6" ht="15">
      <c r="B7" s="13" t="s">
        <v>25</v>
      </c>
      <c r="C7" s="9">
        <v>4333</v>
      </c>
      <c r="D7" s="9">
        <v>6723</v>
      </c>
      <c r="E7" s="9">
        <v>3587</v>
      </c>
      <c r="F7" s="20">
        <f t="shared" ref="F7:F17" si="0">SUM(C7:E7)/SUM($C$6:$E$17)</f>
        <v>0.26849661697563121</v>
      </c>
    </row>
    <row r="8" spans="1:6" ht="15">
      <c r="B8" s="13" t="s">
        <v>23</v>
      </c>
      <c r="C8" s="9">
        <v>1645</v>
      </c>
      <c r="D8" s="9">
        <v>1409</v>
      </c>
      <c r="E8" s="9">
        <v>1113</v>
      </c>
      <c r="F8" s="20">
        <f t="shared" si="0"/>
        <v>7.6406843060674398E-2</v>
      </c>
    </row>
    <row r="9" spans="1:6" ht="15">
      <c r="B9" s="13" t="s">
        <v>21</v>
      </c>
      <c r="C9" s="9">
        <v>1200</v>
      </c>
      <c r="D9" s="9">
        <v>1100</v>
      </c>
      <c r="E9" s="9">
        <v>1498</v>
      </c>
      <c r="F9" s="20">
        <f t="shared" si="0"/>
        <v>6.9640794323120078E-2</v>
      </c>
    </row>
    <row r="10" spans="1:6" ht="15">
      <c r="B10" s="13" t="s">
        <v>31</v>
      </c>
      <c r="C10" s="9">
        <v>780</v>
      </c>
      <c r="D10" s="9">
        <v>780</v>
      </c>
      <c r="E10" s="9">
        <v>2100</v>
      </c>
      <c r="F10" s="20">
        <f t="shared" si="0"/>
        <v>6.7110402112327411E-2</v>
      </c>
    </row>
    <row r="11" spans="1:6" ht="15">
      <c r="B11" s="13" t="s">
        <v>28</v>
      </c>
      <c r="C11" s="9">
        <v>655</v>
      </c>
      <c r="D11" s="9">
        <v>1244</v>
      </c>
      <c r="E11" s="9">
        <v>909</v>
      </c>
      <c r="F11" s="20">
        <f t="shared" si="0"/>
        <v>5.1487980636998734E-2</v>
      </c>
    </row>
    <row r="12" spans="1:6" ht="15">
      <c r="B12" s="13" t="s">
        <v>26</v>
      </c>
      <c r="C12" s="9">
        <v>590</v>
      </c>
      <c r="D12" s="9">
        <v>650</v>
      </c>
      <c r="E12" s="9">
        <v>676</v>
      </c>
      <c r="F12" s="20">
        <f t="shared" si="0"/>
        <v>3.5132112144048995E-2</v>
      </c>
    </row>
    <row r="13" spans="1:6" ht="15">
      <c r="B13" s="13" t="s">
        <v>29</v>
      </c>
      <c r="C13" s="9">
        <v>409</v>
      </c>
      <c r="D13" s="9">
        <v>419</v>
      </c>
      <c r="E13" s="9">
        <v>455</v>
      </c>
      <c r="F13" s="20">
        <f t="shared" si="0"/>
        <v>2.3525313090195649E-2</v>
      </c>
    </row>
    <row r="14" spans="1:6" ht="15">
      <c r="B14" s="13" t="s">
        <v>22</v>
      </c>
      <c r="C14" s="9">
        <v>545</v>
      </c>
      <c r="D14" s="9">
        <v>97</v>
      </c>
      <c r="E14" s="9">
        <v>321</v>
      </c>
      <c r="F14" s="20">
        <f t="shared" si="0"/>
        <v>1.7657736949227131E-2</v>
      </c>
    </row>
    <row r="15" spans="1:6" ht="15">
      <c r="B15" s="13" t="s">
        <v>27</v>
      </c>
      <c r="C15" s="9">
        <v>454</v>
      </c>
      <c r="D15" s="9">
        <v>333</v>
      </c>
      <c r="E15" s="9">
        <v>123</v>
      </c>
      <c r="F15" s="20">
        <f t="shared" si="0"/>
        <v>1.6685919650879219E-2</v>
      </c>
    </row>
    <row r="16" spans="1:6" ht="15">
      <c r="B16" s="13" t="s">
        <v>30</v>
      </c>
      <c r="C16" s="9">
        <v>0</v>
      </c>
      <c r="D16" s="9">
        <v>79</v>
      </c>
      <c r="E16" s="9">
        <v>256</v>
      </c>
      <c r="F16" s="20">
        <f t="shared" si="0"/>
        <v>6.1426187725764159E-3</v>
      </c>
    </row>
    <row r="17" spans="2:6" ht="15">
      <c r="B17" s="16" t="s">
        <v>24</v>
      </c>
      <c r="C17" s="21">
        <v>45</v>
      </c>
      <c r="D17" s="21">
        <v>0</v>
      </c>
      <c r="E17" s="21">
        <v>90</v>
      </c>
      <c r="F17" s="22">
        <f t="shared" si="0"/>
        <v>2.4753836844710929E-3</v>
      </c>
    </row>
    <row r="18" spans="2:6" ht="15">
      <c r="B18" s="5"/>
      <c r="C18" s="5"/>
      <c r="D18" s="5"/>
      <c r="E18" s="5"/>
      <c r="F18" s="5"/>
    </row>
    <row r="19" spans="2:6" ht="15">
      <c r="B19" s="5"/>
      <c r="C19" s="5"/>
      <c r="D19" s="5"/>
      <c r="E19" s="5"/>
      <c r="F19" s="5"/>
    </row>
    <row r="20" spans="2:6">
      <c r="F20" s="11"/>
    </row>
  </sheetData>
  <sortState xmlns:xlrd2="http://schemas.microsoft.com/office/spreadsheetml/2017/richdata2" ref="B6:F17">
    <sortCondition descending="1" ref="F6:F17"/>
  </sortState>
  <mergeCells count="2">
    <mergeCell ref="B4:B5"/>
    <mergeCell ref="C4:E4"/>
  </mergeCells>
  <pageMargins left="0.70866141732283472" right="0.70866141732283472" top="0.74803149606299213" bottom="0.74803149606299213" header="0.31496062992125984" footer="0.31496062992125984"/>
  <pageSetup scale="75" orientation="landscape" r:id="rId1"/>
  <headerFooter>
    <oddHeader>&amp;R&amp;G</oddHeader>
    <oddFooter>&amp;LEva Fitzpatrick
16 May 2024&amp;R&amp;P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6D81B-15B6-429D-A9C6-76FF2CB657E7}">
  <sheetPr codeName="Sheet3">
    <pageSetUpPr fitToPage="1"/>
  </sheetPr>
  <dimension ref="A1:I20"/>
  <sheetViews>
    <sheetView view="pageLayout" zoomScaleNormal="100" workbookViewId="0">
      <selection activeCell="C31" sqref="C31"/>
    </sheetView>
  </sheetViews>
  <sheetFormatPr defaultRowHeight="14.25"/>
  <cols>
    <col min="1" max="1" width="30.625" customWidth="1"/>
    <col min="2" max="2" width="39.25" customWidth="1"/>
    <col min="3" max="3" width="20.125" customWidth="1"/>
    <col min="4" max="4" width="24.75" customWidth="1"/>
    <col min="5" max="5" width="29" customWidth="1"/>
    <col min="6" max="6" width="10.125" bestFit="1" customWidth="1"/>
    <col min="9" max="9" width="46.875" customWidth="1"/>
  </cols>
  <sheetData>
    <row r="1" spans="1:9" ht="18.75">
      <c r="A1" s="10" t="s">
        <v>41</v>
      </c>
    </row>
    <row r="3" spans="1:9" s="1" customFormat="1"/>
    <row r="4" spans="1:9" ht="15.75">
      <c r="B4" s="24" t="s">
        <v>15</v>
      </c>
      <c r="C4" s="26" t="s">
        <v>16</v>
      </c>
      <c r="D4" s="26"/>
      <c r="E4" s="26"/>
      <c r="F4" s="19"/>
    </row>
    <row r="5" spans="1:9" ht="15.75">
      <c r="B5" s="25"/>
      <c r="C5" s="7" t="s">
        <v>17</v>
      </c>
      <c r="D5" s="7" t="s">
        <v>18</v>
      </c>
      <c r="E5" s="7" t="s">
        <v>19</v>
      </c>
      <c r="F5" s="12" t="s">
        <v>39</v>
      </c>
    </row>
    <row r="6" spans="1:9" ht="15">
      <c r="B6" s="13" t="s">
        <v>20</v>
      </c>
      <c r="C6" s="9">
        <v>5020</v>
      </c>
      <c r="D6" s="9">
        <v>4789</v>
      </c>
      <c r="E6" s="9">
        <v>5222</v>
      </c>
      <c r="F6" s="20">
        <f>SUM(C6:E6)/SUM($C$6:$E$17)</f>
        <v>0.30647364665103477</v>
      </c>
    </row>
    <row r="7" spans="1:9" ht="15">
      <c r="B7" s="13" t="s">
        <v>25</v>
      </c>
      <c r="C7" s="9">
        <v>3333</v>
      </c>
      <c r="D7" s="9">
        <v>4065</v>
      </c>
      <c r="E7" s="9">
        <v>3855</v>
      </c>
      <c r="F7" s="20">
        <f t="shared" ref="F7:F17" si="0">SUM(C7:E7)/SUM($C$6:$E$17)</f>
        <v>0.22944234886328882</v>
      </c>
    </row>
    <row r="8" spans="1:9" ht="15">
      <c r="B8" s="13" t="s">
        <v>31</v>
      </c>
      <c r="C8" s="9">
        <v>1204</v>
      </c>
      <c r="D8" s="9">
        <v>1903</v>
      </c>
      <c r="E8" s="9">
        <v>1204</v>
      </c>
      <c r="F8" s="20">
        <f t="shared" si="0"/>
        <v>8.7898868386175957E-2</v>
      </c>
      <c r="I8" s="3"/>
    </row>
    <row r="9" spans="1:9" ht="15">
      <c r="B9" s="13" t="s">
        <v>23</v>
      </c>
      <c r="C9" s="9">
        <v>1208</v>
      </c>
      <c r="D9" s="9">
        <v>1288</v>
      </c>
      <c r="E9" s="9">
        <v>1499</v>
      </c>
      <c r="F9" s="20">
        <f t="shared" si="0"/>
        <v>8.1455805892547667E-2</v>
      </c>
      <c r="I9" s="3"/>
    </row>
    <row r="10" spans="1:9" ht="15">
      <c r="B10" s="13" t="s">
        <v>29</v>
      </c>
      <c r="C10" s="9">
        <v>951</v>
      </c>
      <c r="D10" s="9">
        <v>1009</v>
      </c>
      <c r="E10" s="9">
        <v>1552</v>
      </c>
      <c r="F10" s="20">
        <f t="shared" si="0"/>
        <v>7.1607707207666432E-2</v>
      </c>
      <c r="I10" s="3"/>
    </row>
    <row r="11" spans="1:9" ht="15">
      <c r="B11" s="13" t="s">
        <v>28</v>
      </c>
      <c r="C11" s="9">
        <v>831</v>
      </c>
      <c r="D11" s="9">
        <v>708</v>
      </c>
      <c r="E11" s="9">
        <v>1205</v>
      </c>
      <c r="F11" s="20">
        <f t="shared" si="0"/>
        <v>5.5948618615557139E-2</v>
      </c>
      <c r="I11" s="3"/>
    </row>
    <row r="12" spans="1:9" ht="15">
      <c r="B12" s="13" t="s">
        <v>26</v>
      </c>
      <c r="C12" s="9">
        <v>1065</v>
      </c>
      <c r="D12" s="9">
        <v>454</v>
      </c>
      <c r="E12" s="9">
        <v>1101</v>
      </c>
      <c r="F12" s="20">
        <f t="shared" si="0"/>
        <v>5.3420328269956165E-2</v>
      </c>
      <c r="I12" s="3"/>
    </row>
    <row r="13" spans="1:9" ht="15">
      <c r="B13" s="13" t="s">
        <v>21</v>
      </c>
      <c r="C13" s="9">
        <v>488</v>
      </c>
      <c r="D13" s="9">
        <v>900</v>
      </c>
      <c r="E13" s="9">
        <v>1121</v>
      </c>
      <c r="F13" s="20">
        <f t="shared" si="0"/>
        <v>5.1157100621877866E-2</v>
      </c>
      <c r="I13" s="3"/>
    </row>
    <row r="14" spans="1:9" ht="15">
      <c r="B14" s="13" t="s">
        <v>27</v>
      </c>
      <c r="C14" s="9">
        <v>665</v>
      </c>
      <c r="D14" s="9">
        <v>493</v>
      </c>
      <c r="E14" s="9">
        <v>480</v>
      </c>
      <c r="F14" s="20">
        <f t="shared" si="0"/>
        <v>3.3397899887858087E-2</v>
      </c>
      <c r="I14" s="3"/>
    </row>
    <row r="15" spans="1:9" ht="15">
      <c r="B15" s="13" t="s">
        <v>22</v>
      </c>
      <c r="C15" s="9">
        <v>576</v>
      </c>
      <c r="D15" s="9">
        <v>109</v>
      </c>
      <c r="E15" s="9">
        <v>107</v>
      </c>
      <c r="F15" s="20">
        <f t="shared" si="0"/>
        <v>1.6148435110612702E-2</v>
      </c>
      <c r="I15" s="3"/>
    </row>
    <row r="16" spans="1:9" ht="15">
      <c r="B16" s="13" t="s">
        <v>30</v>
      </c>
      <c r="C16" s="9">
        <v>320</v>
      </c>
      <c r="D16" s="9">
        <v>320</v>
      </c>
      <c r="E16" s="9">
        <v>0</v>
      </c>
      <c r="F16" s="20">
        <f t="shared" si="0"/>
        <v>1.3049240493424406E-2</v>
      </c>
      <c r="I16" s="3"/>
    </row>
    <row r="17" spans="2:9" ht="15">
      <c r="B17" s="16" t="s">
        <v>24</v>
      </c>
      <c r="C17" s="21">
        <v>0</v>
      </c>
      <c r="D17" s="21">
        <v>0</v>
      </c>
      <c r="E17" s="21">
        <v>0</v>
      </c>
      <c r="F17" s="22">
        <f t="shared" si="0"/>
        <v>0</v>
      </c>
      <c r="I17" s="3"/>
    </row>
    <row r="18" spans="2:9">
      <c r="I18" s="3"/>
    </row>
    <row r="20" spans="2:9">
      <c r="I20" s="4"/>
    </row>
  </sheetData>
  <sortState xmlns:xlrd2="http://schemas.microsoft.com/office/spreadsheetml/2017/richdata2" ref="B7:F17">
    <sortCondition descending="1" ref="F6:F17"/>
  </sortState>
  <mergeCells count="2">
    <mergeCell ref="B4:B5"/>
    <mergeCell ref="C4:E4"/>
  </mergeCells>
  <pageMargins left="0.70866141732283472" right="0.70866141732283472" top="0.74803149606299213" bottom="0.74803149606299213" header="0.31496062992125984" footer="0.31496062992125984"/>
  <pageSetup scale="73" orientation="landscape" r:id="rId1"/>
  <headerFooter>
    <oddHeader>&amp;R&amp;G</oddHeader>
    <oddFooter>&amp;LEva Fitzpatrick
16 May 2024&amp;R&amp;P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6733F-C733-4503-A8F7-19A5BAF10ED7}">
  <sheetPr codeName="Sheet4">
    <pageSetUpPr fitToPage="1"/>
  </sheetPr>
  <dimension ref="A1:I20"/>
  <sheetViews>
    <sheetView view="pageLayout" zoomScaleNormal="100" workbookViewId="0">
      <selection activeCell="C22" sqref="C22"/>
    </sheetView>
  </sheetViews>
  <sheetFormatPr defaultRowHeight="14.25"/>
  <cols>
    <col min="1" max="1" width="28.625" customWidth="1"/>
    <col min="2" max="2" width="39.25" customWidth="1"/>
    <col min="3" max="3" width="20.125" customWidth="1"/>
    <col min="4" max="4" width="24.75" customWidth="1"/>
    <col min="5" max="5" width="29" customWidth="1"/>
    <col min="6" max="6" width="10.125" bestFit="1" customWidth="1"/>
    <col min="8" max="8" width="37.25" customWidth="1"/>
  </cols>
  <sheetData>
    <row r="1" spans="1:9" ht="18.75">
      <c r="A1" s="10" t="s">
        <v>42</v>
      </c>
    </row>
    <row r="3" spans="1:9" s="1" customFormat="1"/>
    <row r="4" spans="1:9" ht="15.75">
      <c r="B4" s="24" t="s">
        <v>15</v>
      </c>
      <c r="C4" s="26" t="s">
        <v>16</v>
      </c>
      <c r="D4" s="26"/>
      <c r="E4" s="26"/>
      <c r="F4" s="19"/>
    </row>
    <row r="5" spans="1:9" ht="15.75">
      <c r="B5" s="25"/>
      <c r="C5" s="7" t="s">
        <v>17</v>
      </c>
      <c r="D5" s="7" t="s">
        <v>18</v>
      </c>
      <c r="E5" s="7" t="s">
        <v>19</v>
      </c>
      <c r="F5" s="12" t="s">
        <v>39</v>
      </c>
    </row>
    <row r="6" spans="1:9" ht="15">
      <c r="B6" s="13" t="s">
        <v>20</v>
      </c>
      <c r="C6" s="9">
        <v>6432</v>
      </c>
      <c r="D6" s="9">
        <v>5788</v>
      </c>
      <c r="E6" s="9">
        <v>6561</v>
      </c>
      <c r="F6" s="20">
        <f>SUM(C6:E6)/SUM($C$6:$E$17)</f>
        <v>0.34488394299985309</v>
      </c>
      <c r="G6" s="5"/>
      <c r="H6" s="5"/>
      <c r="I6" s="5"/>
    </row>
    <row r="7" spans="1:9" ht="15">
      <c r="B7" s="13" t="s">
        <v>25</v>
      </c>
      <c r="C7" s="9">
        <v>5008</v>
      </c>
      <c r="D7" s="9">
        <v>4330</v>
      </c>
      <c r="E7" s="9">
        <v>7045</v>
      </c>
      <c r="F7" s="20">
        <f t="shared" ref="F7:F17" si="0">SUM(C7:E7)/SUM($C$6:$E$17)</f>
        <v>0.30084839136183339</v>
      </c>
      <c r="G7" s="5"/>
      <c r="H7" s="5"/>
      <c r="I7" s="5"/>
    </row>
    <row r="8" spans="1:9" ht="15">
      <c r="B8" s="13" t="s">
        <v>28</v>
      </c>
      <c r="C8" s="9">
        <v>1350</v>
      </c>
      <c r="D8" s="9">
        <v>1375</v>
      </c>
      <c r="E8" s="9">
        <v>1398</v>
      </c>
      <c r="F8" s="20">
        <f t="shared" si="0"/>
        <v>7.5712501836344939E-2</v>
      </c>
      <c r="G8" s="5"/>
      <c r="H8" s="5"/>
      <c r="I8" s="5"/>
    </row>
    <row r="9" spans="1:9" ht="15">
      <c r="B9" s="13" t="s">
        <v>22</v>
      </c>
      <c r="C9" s="9">
        <v>998</v>
      </c>
      <c r="D9" s="9">
        <v>1200</v>
      </c>
      <c r="E9" s="9">
        <v>1234</v>
      </c>
      <c r="F9" s="20">
        <f t="shared" si="0"/>
        <v>6.3023358307624511E-2</v>
      </c>
      <c r="G9" s="5"/>
      <c r="H9" s="5"/>
      <c r="I9" s="5"/>
    </row>
    <row r="10" spans="1:9" ht="15">
      <c r="B10" s="13" t="s">
        <v>29</v>
      </c>
      <c r="C10" s="9">
        <v>1001</v>
      </c>
      <c r="D10" s="9">
        <v>1110</v>
      </c>
      <c r="E10" s="9">
        <v>900</v>
      </c>
      <c r="F10" s="20">
        <f t="shared" si="0"/>
        <v>5.5292346114294108E-2</v>
      </c>
      <c r="G10" s="5"/>
      <c r="H10" s="5"/>
      <c r="I10" s="5"/>
    </row>
    <row r="11" spans="1:9" ht="15">
      <c r="B11" s="13" t="s">
        <v>26</v>
      </c>
      <c r="C11" s="9">
        <v>888</v>
      </c>
      <c r="D11" s="9">
        <v>1003</v>
      </c>
      <c r="E11" s="9">
        <v>979</v>
      </c>
      <c r="F11" s="20">
        <f t="shared" si="0"/>
        <v>5.2703099750257089E-2</v>
      </c>
      <c r="G11" s="5"/>
      <c r="H11" s="5"/>
      <c r="I11" s="5"/>
    </row>
    <row r="12" spans="1:9" ht="15">
      <c r="B12" s="13" t="s">
        <v>31</v>
      </c>
      <c r="C12" s="9">
        <v>0</v>
      </c>
      <c r="D12" s="9">
        <v>665</v>
      </c>
      <c r="E12" s="9">
        <v>1204</v>
      </c>
      <c r="F12" s="20">
        <f t="shared" si="0"/>
        <v>3.4321286910533273E-2</v>
      </c>
      <c r="G12" s="5"/>
      <c r="H12" s="5"/>
      <c r="I12" s="5"/>
    </row>
    <row r="13" spans="1:9" ht="15">
      <c r="B13" s="13" t="s">
        <v>30</v>
      </c>
      <c r="C13" s="9">
        <v>770</v>
      </c>
      <c r="D13" s="9">
        <v>490</v>
      </c>
      <c r="E13" s="9">
        <v>250</v>
      </c>
      <c r="F13" s="20">
        <f t="shared" si="0"/>
        <v>2.7728808579403554E-2</v>
      </c>
      <c r="G13" s="5"/>
      <c r="H13" s="5"/>
      <c r="I13" s="5"/>
    </row>
    <row r="14" spans="1:9" ht="15">
      <c r="B14" s="13" t="s">
        <v>23</v>
      </c>
      <c r="C14" s="9">
        <v>343</v>
      </c>
      <c r="D14" s="9">
        <v>321</v>
      </c>
      <c r="E14" s="9">
        <v>664</v>
      </c>
      <c r="F14" s="20">
        <f t="shared" si="0"/>
        <v>2.4386660790362863E-2</v>
      </c>
      <c r="G14" s="5"/>
      <c r="H14" s="5"/>
      <c r="I14" s="5"/>
    </row>
    <row r="15" spans="1:9" ht="15">
      <c r="B15" s="13" t="s">
        <v>27</v>
      </c>
      <c r="C15" s="9">
        <v>209</v>
      </c>
      <c r="D15" s="9">
        <v>156</v>
      </c>
      <c r="E15" s="9">
        <v>188</v>
      </c>
      <c r="F15" s="20">
        <f t="shared" si="0"/>
        <v>1.0154987512854414E-2</v>
      </c>
      <c r="G15" s="5"/>
      <c r="H15" s="5"/>
      <c r="I15" s="5"/>
    </row>
    <row r="16" spans="1:9" ht="15">
      <c r="B16" s="13" t="s">
        <v>21</v>
      </c>
      <c r="C16" s="9">
        <v>350</v>
      </c>
      <c r="D16" s="9">
        <v>0</v>
      </c>
      <c r="E16" s="9">
        <v>0</v>
      </c>
      <c r="F16" s="20">
        <f t="shared" si="0"/>
        <v>6.4272072866167181E-3</v>
      </c>
      <c r="G16" s="5"/>
      <c r="H16" s="5"/>
      <c r="I16" s="5"/>
    </row>
    <row r="17" spans="2:9" ht="15">
      <c r="B17" s="16" t="s">
        <v>24</v>
      </c>
      <c r="C17" s="21">
        <v>45</v>
      </c>
      <c r="D17" s="21">
        <v>45</v>
      </c>
      <c r="E17" s="21">
        <v>156</v>
      </c>
      <c r="F17" s="22">
        <f t="shared" si="0"/>
        <v>4.5174085500220363E-3</v>
      </c>
      <c r="G17" s="5"/>
      <c r="H17" s="5"/>
      <c r="I17" s="5"/>
    </row>
    <row r="18" spans="2:9" ht="15">
      <c r="B18" s="5"/>
      <c r="C18" s="5"/>
      <c r="D18" s="5"/>
      <c r="E18" s="5"/>
      <c r="F18" s="5"/>
      <c r="G18" s="5"/>
      <c r="H18" s="5"/>
      <c r="I18" s="5"/>
    </row>
    <row r="19" spans="2:9" ht="15">
      <c r="B19" s="5"/>
      <c r="C19" s="5"/>
      <c r="D19" s="5"/>
      <c r="E19" s="5"/>
      <c r="F19" s="5"/>
      <c r="G19" s="5"/>
      <c r="H19" s="5"/>
      <c r="I19" s="5"/>
    </row>
    <row r="20" spans="2:9" ht="15">
      <c r="B20" s="5"/>
      <c r="C20" s="5"/>
      <c r="D20" s="5"/>
      <c r="E20" s="5"/>
      <c r="F20" s="5"/>
      <c r="G20" s="5"/>
      <c r="H20" s="5"/>
      <c r="I20" s="5"/>
    </row>
  </sheetData>
  <sortState xmlns:xlrd2="http://schemas.microsoft.com/office/spreadsheetml/2017/richdata2" ref="B7:F17">
    <sortCondition descending="1" ref="F6:F17"/>
  </sortState>
  <mergeCells count="2">
    <mergeCell ref="B4:B5"/>
    <mergeCell ref="C4:E4"/>
  </mergeCells>
  <pageMargins left="0.70866141732283472" right="0.70866141732283472" top="0.74803149606299213" bottom="0.74803149606299213" header="0.31496062992125984" footer="0.31496062992125984"/>
  <pageSetup scale="54" orientation="portrait" r:id="rId1"/>
  <headerFooter>
    <oddHeader>&amp;R&amp;G</oddHeader>
    <oddFooter>&amp;LEva Fitzpatrick
16 May 2024&amp;R&amp;P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4B16B-A906-454B-B00C-02F498873A0B}">
  <sheetPr codeName="Sheet5">
    <pageSetUpPr fitToPage="1"/>
  </sheetPr>
  <dimension ref="A1:L14"/>
  <sheetViews>
    <sheetView tabSelected="1" view="pageLayout" zoomScaleNormal="100" workbookViewId="0">
      <selection activeCell="G14" sqref="G14"/>
    </sheetView>
  </sheetViews>
  <sheetFormatPr defaultRowHeight="14.25"/>
  <cols>
    <col min="1" max="1" width="33.125" customWidth="1"/>
    <col min="2" max="2" width="26.875" customWidth="1"/>
    <col min="3" max="3" width="10.25" customWidth="1"/>
    <col min="4" max="4" width="15.125" customWidth="1"/>
    <col min="5" max="5" width="12.75" customWidth="1"/>
    <col min="7" max="7" width="26.625" customWidth="1"/>
    <col min="8" max="8" width="13.375" customWidth="1"/>
    <col min="9" max="9" width="14.25" customWidth="1"/>
    <col min="10" max="10" width="13.75" customWidth="1"/>
  </cols>
  <sheetData>
    <row r="1" spans="1:12" ht="18.75">
      <c r="A1" s="10" t="s">
        <v>43</v>
      </c>
    </row>
    <row r="3" spans="1:12" s="1" customFormat="1"/>
    <row r="6" spans="1:12" ht="15.75">
      <c r="G6" s="24" t="s">
        <v>32</v>
      </c>
      <c r="H6" s="26" t="s">
        <v>34</v>
      </c>
      <c r="I6" s="26"/>
      <c r="J6" s="27"/>
    </row>
    <row r="7" spans="1:12" ht="15.75">
      <c r="G7" s="25"/>
      <c r="H7" s="7" t="s">
        <v>17</v>
      </c>
      <c r="I7" s="7" t="s">
        <v>33</v>
      </c>
      <c r="J7" s="12" t="s">
        <v>19</v>
      </c>
    </row>
    <row r="8" spans="1:12" ht="15">
      <c r="G8" s="13" t="s">
        <v>35</v>
      </c>
      <c r="H8" s="9">
        <f>SUM('3f Ringwood Raw Data'!C6:C17)</f>
        <v>17696</v>
      </c>
      <c r="I8" s="9">
        <f>SUM('3f Ringwood Raw Data'!D6:D17)</f>
        <v>19623</v>
      </c>
      <c r="J8" s="14">
        <f>SUM('3f Ringwood Raw Data'!E6:E17)</f>
        <v>17218</v>
      </c>
    </row>
    <row r="9" spans="1:12" ht="15">
      <c r="G9" s="13" t="s">
        <v>37</v>
      </c>
      <c r="H9" s="9">
        <f>SUM('3f Glen Waverley Raw Data'!C6:C17)</f>
        <v>15661</v>
      </c>
      <c r="I9" s="9">
        <f>SUM('3f Glen Waverley Raw Data'!D6:D17)</f>
        <v>16038</v>
      </c>
      <c r="J9" s="14">
        <f>SUM('3f Glen Waverley Raw Data'!E6:E17)</f>
        <v>17346</v>
      </c>
    </row>
    <row r="10" spans="1:12" ht="15">
      <c r="G10" s="13" t="s">
        <v>36</v>
      </c>
      <c r="H10" s="9">
        <f>SUM('3f Werribee Raw Data'!C6:C17)</f>
        <v>17394</v>
      </c>
      <c r="I10" s="9">
        <f>SUM('3f Werribee Raw Data'!D6:D17)</f>
        <v>16483</v>
      </c>
      <c r="J10" s="14">
        <f>SUM('3f Werribee Raw Data'!E6:E17)</f>
        <v>20579</v>
      </c>
    </row>
    <row r="11" spans="1:12" ht="15">
      <c r="G11" s="13"/>
      <c r="H11" s="5"/>
      <c r="I11" s="5"/>
      <c r="J11" s="15"/>
    </row>
    <row r="12" spans="1:12" ht="15">
      <c r="G12" s="16" t="s">
        <v>38</v>
      </c>
      <c r="H12" s="17">
        <f>SUM(H8:H10)/SUM($H$8:$J$10)</f>
        <v>0.32113162657082472</v>
      </c>
      <c r="I12" s="17">
        <f t="shared" ref="I12:J12" si="0">SUM(I8:I10)/SUM($H$8:$J$10)</f>
        <v>0.32994596236348223</v>
      </c>
      <c r="J12" s="18">
        <f t="shared" si="0"/>
        <v>0.34892241106569305</v>
      </c>
      <c r="L12" s="8"/>
    </row>
    <row r="13" spans="1:12" ht="15">
      <c r="G13" s="5"/>
      <c r="H13" s="5"/>
      <c r="I13" s="5"/>
      <c r="J13" s="5"/>
    </row>
    <row r="14" spans="1:12" ht="15">
      <c r="G14" s="5"/>
      <c r="H14" s="5"/>
      <c r="I14" s="5"/>
      <c r="J14" s="5"/>
    </row>
  </sheetData>
  <mergeCells count="2">
    <mergeCell ref="G6:G7"/>
    <mergeCell ref="H6:J6"/>
  </mergeCells>
  <pageMargins left="0.70866141732283472" right="0.70866141732283472" top="0.74803149606299213" bottom="0.74803149606299213" header="0.31496062992125984" footer="0.31496062992125984"/>
  <pageSetup scale="64" orientation="landscape" r:id="rId1"/>
  <headerFooter>
    <oddHeader>&amp;R&amp;G</oddHeader>
    <oddFooter>&amp;LEva Fitzpatrick
16 May 2024&amp;R&amp;P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3e</vt:lpstr>
      <vt:lpstr>3f Ringwood Raw Data</vt:lpstr>
      <vt:lpstr>3f Glen Waverley Raw Data</vt:lpstr>
      <vt:lpstr>3f Werribee Raw Data</vt:lpstr>
      <vt:lpstr>3f Gift Shop Sales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dcterms:created xsi:type="dcterms:W3CDTF">2024-05-03T20:09:20Z</dcterms:created>
  <dcterms:modified xsi:type="dcterms:W3CDTF">2024-05-17T04:30:06Z</dcterms:modified>
</cp:coreProperties>
</file>