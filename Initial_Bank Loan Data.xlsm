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13_ncr:1_{8A72B26F-5F80-4F5F-A4E4-564816DD4CB2}" xr6:coauthVersionLast="47" xr6:coauthVersionMax="47" xr10:uidLastSave="{00000000-0000-0000-0000-000000000000}"/>
  <bookViews>
    <workbookView xWindow="-120" yWindow="-120" windowWidth="29040" windowHeight="15720" firstSheet="1" activeTab="1" xr2:uid="{FB65334C-7649-4C8F-884E-1FAF4848DDBC}"/>
  </bookViews>
  <sheets>
    <sheet name="3b Essendon Data" sheetId="1" r:id="rId1"/>
    <sheet name="3b Charts" sheetId="2" r:id="rId2"/>
    <sheet name="3c Drinks Sales Analysis for 7 " sheetId="3" r:id="rId3"/>
    <sheet name="3c Charts" sheetId="11" r:id="rId4"/>
    <sheet name="4a Sales Figures Ringwood" sheetId="5" r:id="rId5"/>
    <sheet name="4a Sales Figures Werribee" sheetId="6" r:id="rId6"/>
    <sheet name="4a Sales Figures Glen Waverley" sheetId="7" r:id="rId7"/>
    <sheet name="4b Consolidated Cafe Data" sheetId="8" r:id="rId8"/>
    <sheet name="5a, 5b ,5c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" l="1"/>
  <c r="F24" i="1"/>
  <c r="C25" i="1"/>
  <c r="G5" i="1"/>
  <c r="G6" i="1"/>
  <c r="G7" i="1"/>
  <c r="G8" i="1"/>
  <c r="G9" i="1"/>
  <c r="G10" i="1"/>
  <c r="G11" i="1"/>
  <c r="G12" i="1"/>
  <c r="G13" i="1"/>
  <c r="G14" i="1"/>
  <c r="G15" i="1"/>
  <c r="G4" i="1"/>
  <c r="F5" i="1"/>
  <c r="F6" i="1"/>
  <c r="F7" i="1"/>
  <c r="F8" i="1"/>
  <c r="F9" i="1"/>
  <c r="F10" i="1"/>
  <c r="F11" i="1"/>
  <c r="F12" i="1"/>
  <c r="F13" i="1"/>
  <c r="F14" i="1"/>
  <c r="F15" i="1"/>
  <c r="F4" i="1"/>
  <c r="C21" i="1"/>
  <c r="E5" i="1"/>
  <c r="E6" i="1"/>
  <c r="E7" i="1"/>
  <c r="E8" i="1"/>
  <c r="E9" i="1"/>
  <c r="E10" i="1"/>
  <c r="E11" i="1"/>
  <c r="E12" i="1"/>
  <c r="E13" i="1"/>
  <c r="E14" i="1"/>
  <c r="E15" i="1"/>
  <c r="E4" i="1"/>
  <c r="H17" i="1"/>
  <c r="H16" i="1"/>
  <c r="D17" i="5"/>
  <c r="C17" i="5"/>
  <c r="D17" i="7"/>
  <c r="C17" i="7"/>
  <c r="D17" i="6"/>
  <c r="C17" i="6"/>
  <c r="F28" i="1"/>
  <c r="F27" i="1"/>
  <c r="D17" i="1"/>
  <c r="C17" i="1"/>
  <c r="E17" i="5"/>
  <c r="D16" i="1"/>
  <c r="C6" i="8" a="1"/>
  <c r="D6" i="8" a="1"/>
  <c r="C6" i="8" l="1"/>
  <c r="D6" i="8"/>
  <c r="E16" i="1"/>
  <c r="I28" i="1"/>
  <c r="C28" i="1" a="1"/>
  <c r="C28" i="1" s="1"/>
  <c r="H4" i="8"/>
  <c r="J6" i="8"/>
  <c r="J5" i="8"/>
  <c r="I6" i="8"/>
  <c r="I5" i="8"/>
  <c r="J4" i="8"/>
  <c r="I4" i="8"/>
  <c r="H6" i="8"/>
  <c r="H5" i="8"/>
  <c r="C16" i="1"/>
  <c r="G17" i="1" l="1"/>
  <c r="C20" i="1" s="1"/>
  <c r="G16" i="1"/>
  <c r="C16" i="3"/>
  <c r="C15" i="3"/>
  <c r="C14" i="3"/>
  <c r="E12" i="3"/>
  <c r="D12" i="3"/>
  <c r="C12" i="3"/>
  <c r="E6" i="3"/>
  <c r="E7" i="3"/>
  <c r="E8" i="3"/>
  <c r="E9" i="3"/>
  <c r="E10" i="3"/>
  <c r="E5" i="3"/>
  <c r="E6" i="8" l="1"/>
  <c r="E17" i="1"/>
  <c r="I7" i="8"/>
  <c r="D11" i="8" s="1"/>
  <c r="D12" i="8" s="1"/>
  <c r="F16" i="1"/>
  <c r="F17" i="1"/>
  <c r="C27" i="1" a="1"/>
  <c r="C27" i="1" s="1"/>
  <c r="I27" i="1"/>
  <c r="H7" i="8" l="1"/>
  <c r="C22" i="1"/>
  <c r="J7" i="8" s="1"/>
  <c r="E11" i="8" s="1"/>
  <c r="E12" i="8" s="1"/>
  <c r="C11" i="8" l="1"/>
  <c r="C12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<sst xmlns="http://schemas.openxmlformats.org/spreadsheetml/2006/main" count="134" uniqueCount="76">
  <si>
    <t>Month</t>
  </si>
  <si>
    <t>Total Expenses</t>
  </si>
  <si>
    <t>Total Sales</t>
  </si>
  <si>
    <t>Average Expenses per Quarter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</si>
  <si>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</si>
  <si>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</si>
  <si>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</si>
  <si>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</si>
  <si>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</si>
  <si>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</si>
  <si>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</si>
  <si>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</si>
  <si>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</si>
  <si>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</si>
  <si>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</si>
  <si>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</si>
  <si>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 xml:space="preserve">Total Yearly </t>
  </si>
  <si>
    <t>Check for all months</t>
  </si>
  <si>
    <t>Total Yearly Profit</t>
  </si>
  <si>
    <t xml:space="preserve">Total Food Profit </t>
  </si>
  <si>
    <t>Total Food Sales</t>
  </si>
  <si>
    <t>Total Food Expenses</t>
  </si>
  <si>
    <t>Total Beverages Profit</t>
  </si>
  <si>
    <t>Total Beverages Sale</t>
  </si>
  <si>
    <t>Total Beverages Expenses</t>
  </si>
  <si>
    <t>SALES ANALYSIS ON DRINKS</t>
  </si>
  <si>
    <t>Drink Name</t>
  </si>
  <si>
    <t>Quantity</t>
  </si>
  <si>
    <t xml:space="preserve">Soft Drink Cans </t>
  </si>
  <si>
    <t>Lattes</t>
  </si>
  <si>
    <t>Espresso</t>
  </si>
  <si>
    <t>Fresh OJs</t>
  </si>
  <si>
    <t>Milkshake</t>
  </si>
  <si>
    <t>Pot Tea</t>
  </si>
  <si>
    <t>Cost per item($)</t>
  </si>
  <si>
    <t>Total Cost ($)</t>
  </si>
  <si>
    <t xml:space="preserve">Total </t>
  </si>
  <si>
    <t>Minimum Selling Price</t>
  </si>
  <si>
    <t>Maximum Selling Price</t>
  </si>
  <si>
    <t>Average Selling Price</t>
  </si>
  <si>
    <t>Sales figures for CA Café Ringwood</t>
  </si>
  <si>
    <t>Café food sales</t>
  </si>
  <si>
    <t>Café beverage sales</t>
  </si>
  <si>
    <t>Café food expenses</t>
  </si>
  <si>
    <t>Café beverage expenses</t>
  </si>
  <si>
    <t>Cafe total revenue</t>
  </si>
  <si>
    <t>Café total expenses</t>
  </si>
  <si>
    <t>Jul</t>
  </si>
  <si>
    <t>Aug</t>
  </si>
  <si>
    <t>Sept</t>
  </si>
  <si>
    <t>Oct</t>
  </si>
  <si>
    <t>Nov</t>
  </si>
  <si>
    <t>Dec</t>
  </si>
  <si>
    <t>Jan</t>
  </si>
  <si>
    <t>Feb</t>
  </si>
  <si>
    <t>Mar</t>
  </si>
  <si>
    <t>Apr</t>
  </si>
  <si>
    <t>Jun</t>
  </si>
  <si>
    <t>Less total expenses</t>
  </si>
  <si>
    <t>Profit</t>
  </si>
  <si>
    <t>Sales figures for CA Café Werribee</t>
  </si>
  <si>
    <t>Sales figures for CA Café Glen Waverley</t>
  </si>
  <si>
    <t>BANK LOAN DATA</t>
  </si>
  <si>
    <t>Food Sales</t>
  </si>
  <si>
    <t>Food Expenses</t>
  </si>
  <si>
    <t>Beverages Sales</t>
  </si>
  <si>
    <t>Beverages Expenses</t>
  </si>
  <si>
    <t>Ringwood</t>
  </si>
  <si>
    <t>Glen Waverley</t>
  </si>
  <si>
    <t>Total Profit</t>
  </si>
  <si>
    <t>Weribee</t>
  </si>
  <si>
    <t>Assendon</t>
  </si>
  <si>
    <t xml:space="preserve">Highest </t>
  </si>
  <si>
    <t>Café name</t>
  </si>
  <si>
    <t>Average Revenue Per Quarter</t>
  </si>
  <si>
    <t>4a Sales Figures Glen Waverley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</si>
</sst>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sz val="14"/>
      <color rgb="FF002060"/>
      <name val="Calibri"/>
      <family val="2"/>
    </font>
    <font>
      <sz val="14"/>
      <color rgb="FF0070C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4"/>
      <color rgb="FF0070C0"/>
      <name val="Calibri"/>
      <family val="2"/>
    </font>
    <font>
      <sz val="12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FFFF"/>
      <name val="Courier New"/>
      <family val="3"/>
    </font>
    <font>
      <sz val="11"/>
      <color theme="1"/>
      <name val="Courier New"/>
      <family val="3"/>
    </font>
    <font>
      <b/>
      <u val="double"/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u val="double"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6" fillId="0" borderId="0" xfId="0" applyFont="1"/>
    <xf numFmtId="0" fontId="7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top"/>
    </xf>
    <xf numFmtId="2" fontId="4" fillId="0" borderId="0" xfId="0" applyNumberFormat="1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12" fillId="0" borderId="0" xfId="0" applyFont="1"/>
    <xf numFmtId="0" fontId="4" fillId="0" borderId="1" xfId="0" applyFont="1" applyBorder="1"/>
    <xf numFmtId="0" fontId="10" fillId="0" borderId="0" xfId="0" applyFont="1"/>
    <xf numFmtId="2" fontId="4" fillId="0" borderId="0" xfId="0" applyNumberFormat="1" applyFont="1" applyAlignment="1">
      <alignment horizontal="right"/>
    </xf>
    <xf numFmtId="0" fontId="5" fillId="0" borderId="0" xfId="0" applyFont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4" fontId="4" fillId="0" borderId="0" xfId="0" applyNumberFormat="1" applyFont="1"/>
    <xf numFmtId="4" fontId="3" fillId="0" borderId="5" xfId="0" applyNumberFormat="1" applyFont="1" applyBorder="1" applyAlignment="1">
      <alignment vertical="center"/>
    </xf>
    <xf numFmtId="4" fontId="4" fillId="0" borderId="5" xfId="0" applyNumberFormat="1" applyFont="1" applyBorder="1"/>
    <xf numFmtId="4" fontId="0" fillId="0" borderId="0" xfId="0" applyNumberFormat="1"/>
    <xf numFmtId="4" fontId="4" fillId="0" borderId="3" xfId="0" applyNumberFormat="1" applyFont="1" applyBorder="1"/>
    <xf numFmtId="4" fontId="4" fillId="0" borderId="8" xfId="0" applyNumberFormat="1" applyFont="1" applyBorder="1"/>
    <xf numFmtId="4" fontId="4" fillId="0" borderId="9" xfId="0" applyNumberFormat="1" applyFont="1" applyBorder="1"/>
    <xf numFmtId="0" fontId="4" fillId="0" borderId="10" xfId="0" applyFont="1" applyBorder="1"/>
    <xf numFmtId="4" fontId="4" fillId="0" borderId="1" xfId="0" applyNumberFormat="1" applyFont="1" applyBorder="1"/>
    <xf numFmtId="4" fontId="4" fillId="0" borderId="6" xfId="0" applyNumberFormat="1" applyFont="1" applyBorder="1"/>
    <xf numFmtId="0" fontId="13" fillId="0" borderId="10" xfId="0" applyFont="1" applyBorder="1"/>
    <xf numFmtId="0" fontId="13" fillId="0" borderId="11" xfId="0" applyFont="1" applyBorder="1"/>
    <xf numFmtId="4" fontId="13" fillId="0" borderId="9" xfId="0" applyNumberFormat="1" applyFont="1" applyBorder="1"/>
    <xf numFmtId="4" fontId="10" fillId="0" borderId="11" xfId="0" applyNumberFormat="1" applyFont="1" applyBorder="1"/>
    <xf numFmtId="4" fontId="10" fillId="0" borderId="9" xfId="0" applyNumberFormat="1" applyFont="1" applyBorder="1"/>
    <xf numFmtId="0" fontId="0" fillId="0" borderId="1" xfId="0" applyBorder="1"/>
    <xf numFmtId="0" fontId="9" fillId="0" borderId="7" xfId="0" applyFont="1" applyBorder="1"/>
    <xf numFmtId="0" fontId="9" fillId="0" borderId="8" xfId="0" applyFont="1" applyBorder="1"/>
    <xf numFmtId="0" fontId="12" fillId="0" borderId="1" xfId="0" applyFont="1" applyBorder="1"/>
    <xf numFmtId="2" fontId="4" fillId="0" borderId="2" xfId="0" applyNumberFormat="1" applyFont="1" applyBorder="1"/>
    <xf numFmtId="0" fontId="4" fillId="0" borderId="2" xfId="0" applyFont="1" applyBorder="1"/>
    <xf numFmtId="0" fontId="4" fillId="0" borderId="3" xfId="0" applyFont="1" applyBorder="1"/>
    <xf numFmtId="0" fontId="12" fillId="0" borderId="6" xfId="0" applyFont="1" applyBorder="1"/>
    <xf numFmtId="0" fontId="4" fillId="0" borderId="8" xfId="0" applyFont="1" applyBorder="1"/>
    <xf numFmtId="0" fontId="11" fillId="0" borderId="4" xfId="0" applyFont="1" applyBorder="1"/>
    <xf numFmtId="0" fontId="11" fillId="0" borderId="6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Expenses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Total Expenses Distribution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DD1-4422-97A8-46AD0FC2F0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DD1-4422-97A8-46AD0FC2F06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'3b Essendon Data'!$H$27:$H$28</c:f>
              <c:strCache>
                <c:ptCount val="2"/>
                <c:pt idx="0">
                  <c:v>Total Food Expenses</c:v>
                </c:pt>
                <c:pt idx="1">
                  <c:v>Total Beverages Expenses</c:v>
                </c:pt>
              </c:strCache>
            </c:strRef>
          </c:cat>
          <c:val>
            <c:numRef>
              <c:f>'3b Essendon Data'!$I$27:$I$28</c:f>
              <c:numCache>
                <c:formatCode>#,##0.00</c:formatCode>
                <c:ptCount val="2"/>
                <c:pt idx="0">
                  <c:v>225662.25</c:v>
                </c:pt>
                <c:pt idx="1">
                  <c:v>75220.75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D1-4422-97A8-46AD0FC2F0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</a:t>
            </a:r>
            <a:r>
              <a:rPr lang="en-IN" baseline="0"/>
              <a:t> profit Distribution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A-4B61-8A23-F1A0D9F3DC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A-4B61-8A23-F1A0D9F3DC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'3b Essendon Data'!$B$27:$B$28</c:f>
              <c:strCache>
                <c:ptCount val="2"/>
                <c:pt idx="0">
                  <c:v>Total Food Profit </c:v>
                </c:pt>
                <c:pt idx="1">
                  <c:v>Total Beverages Profit</c:v>
                </c:pt>
              </c:strCache>
            </c:strRef>
          </c:cat>
          <c:val>
            <c:numRef>
              <c:f>'3b Essendon Data'!$C$27:$C$28</c:f>
              <c:numCache>
                <c:formatCode>#,##0.00</c:formatCode>
                <c:ptCount val="2"/>
                <c:pt idx="0">
                  <c:v>117668.75</c:v>
                </c:pt>
                <c:pt idx="1">
                  <c:v>81803.25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A-4B61-8A23-F1A0D9F3DC2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F7-4DFA-ADF3-980FAD01065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F7-4DFA-ADF3-980FAD0106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'3b Essendon Data'!$E$27:$E$28</c:f>
              <c:strCache>
                <c:ptCount val="2"/>
                <c:pt idx="0">
                  <c:v>Total Food Sales</c:v>
                </c:pt>
                <c:pt idx="1">
                  <c:v>Total Beverages Sale</c:v>
                </c:pt>
              </c:strCache>
            </c:strRef>
          </c:cat>
          <c:val>
            <c:numRef>
              <c:f>'3b Essendon Data'!$F$27:$F$28</c:f>
              <c:numCache>
                <c:formatCode>#,##0.00</c:formatCode>
                <c:ptCount val="2"/>
                <c:pt idx="0">
                  <c:v>343331</c:v>
                </c:pt>
                <c:pt idx="1">
                  <c:v>157024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F7-4DFA-ADF3-980FAD0106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Beverages</a:t>
            </a:r>
            <a:r>
              <a:rPr lang="en-IN" baseline="0"/>
              <a:t> Sales and Expenses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'3b Essendon Data'!$D$3</c:f>
              <c:strCache>
                <c:ptCount val="1"/>
                <c:pt idx="0">
                  <c:v>Beverages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'3b Essendon Data'!$B$4:$B$15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'3b Essendon Data'!$D$4:$D$15</c:f>
              <c:numCache>
                <c:formatCode>#,##0.00</c:formatCode>
                <c:ptCount val="12"/>
                <c:pt idx="0">
                  <c:v>10034</c:v>
                </c:pt>
                <c:pt idx="1">
                  <c:v>15067</c:v>
                </c:pt>
                <c:pt idx="2">
                  <c:v>10088</c:v>
                </c:pt>
                <c:pt idx="3">
                  <c:v>20067</c:v>
                </c:pt>
                <c:pt idx="4">
                  <c:v>14945</c:v>
                </c:pt>
                <c:pt idx="5">
                  <c:v>15065</c:v>
                </c:pt>
                <c:pt idx="6">
                  <c:v>5120</c:v>
                </c:pt>
                <c:pt idx="7">
                  <c:v>11077</c:v>
                </c:pt>
                <c:pt idx="8">
                  <c:v>12432</c:v>
                </c:pt>
                <c:pt idx="9">
                  <c:v>13548</c:v>
                </c:pt>
                <c:pt idx="10">
                  <c:v>14127</c:v>
                </c:pt>
                <c:pt idx="11">
                  <c:v>15454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F-491D-97B3-EE27FA024EDC}"/>
            </c:ext>
          </c:extLst>
        </c:ser>
        <c:ser>
          <c:idx val="1"/>
          <c:order val="1"/>
          <c:tx>
            <c:strRef>
              <c:f>'3b Essendon Data'!$E$3</c:f>
              <c:strCache>
                <c:ptCount val="1"/>
                <c:pt idx="0">
                  <c:v>Beverages 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'3b Essendon Data'!$B$4:$B$15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'3b Essendon Data'!$E$4:$E$15</c:f>
              <c:numCache>
                <c:formatCode>#,##0.00</c:formatCode>
                <c:ptCount val="12"/>
                <c:pt idx="0">
                  <c:v>5800</c:v>
                </c:pt>
                <c:pt idx="1">
                  <c:v>6494.75</c:v>
                </c:pt>
                <c:pt idx="2">
                  <c:v>5852.5</c:v>
                </c:pt>
                <c:pt idx="3">
                  <c:v>6972.25</c:v>
                </c:pt>
                <c:pt idx="4">
                  <c:v>6772.5</c:v>
                </c:pt>
                <c:pt idx="5">
                  <c:v>7833.5</c:v>
                </c:pt>
                <c:pt idx="6">
                  <c:v>3933</c:v>
                </c:pt>
                <c:pt idx="7">
                  <c:v>5139</c:v>
                </c:pt>
                <c:pt idx="8">
                  <c:v>6730.5</c:v>
                </c:pt>
                <c:pt idx="9">
                  <c:v>6030.25</c:v>
                </c:pt>
                <c:pt idx="10">
                  <c:v>7001.75</c:v>
                </c:pt>
                <c:pt idx="11">
                  <c:v>6660.75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F-491D-97B3-EE27FA024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1101199"/>
        <c:axId val="1531110799"/>
      </c:barChart>
      <c:catAx>
        <c:axId val="153110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10799"/>
        <c:crosses val="autoZero"/>
        <c:auto val="1"/>
        <c:lblAlgn val="ctr"/>
        <c:lblOffset val="100"/>
        <c:noMultiLvlLbl val="0"/>
      </c:catAx>
      <c:valAx>
        <c:axId val="153111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0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  <a:r>
              <a:rPr lang="en-US" baseline="0"/>
              <a:t> sales and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'3b Essendon Data'!$B$4:$B$15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'3b Essendon Data'!$C$4:$C$15</c:f>
              <c:numCache>
                <c:formatCode>#,##0.00</c:formatCode>
                <c:ptCount val="12"/>
                <c:pt idx="0">
                  <c:v>24454</c:v>
                </c:pt>
                <c:pt idx="1">
                  <c:v>28876</c:v>
                </c:pt>
                <c:pt idx="2">
                  <c:v>24400</c:v>
                </c:pt>
                <c:pt idx="3">
                  <c:v>34999</c:v>
                </c:pt>
                <c:pt idx="4">
                  <c:v>32965</c:v>
                </c:pt>
                <c:pt idx="5">
                  <c:v>36933</c:v>
                </c:pt>
                <c:pt idx="6">
                  <c:v>15987</c:v>
                </c:pt>
                <c:pt idx="7">
                  <c:v>24332</c:v>
                </c:pt>
                <c:pt idx="8">
                  <c:v>29909</c:v>
                </c:pt>
                <c:pt idx="9">
                  <c:v>33011</c:v>
                </c:pt>
                <c:pt idx="10">
                  <c:v>32909</c:v>
                </c:pt>
                <c:pt idx="11">
                  <c:v>24556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3-4441-94C3-7120DA60C015}"/>
            </c:ext>
          </c:extLst>
        </c:ser>
        <c:ser>
          <c:idx val="1"/>
          <c:order val="1"/>
          <c:tx>
            <c:v>Expenses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'3b Essendon Data'!$B$4:$B$15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'3b Essendon Data'!$F$4:$F$15</c:f>
              <c:numCache>
                <c:formatCode>#,##0.00</c:formatCode>
                <c:ptCount val="12"/>
                <c:pt idx="0">
                  <c:v>17400</c:v>
                </c:pt>
                <c:pt idx="1">
                  <c:v>19484.25</c:v>
                </c:pt>
                <c:pt idx="2">
                  <c:v>17557.5</c:v>
                </c:pt>
                <c:pt idx="3">
                  <c:v>20916.75</c:v>
                </c:pt>
                <c:pt idx="4">
                  <c:v>20317.5</c:v>
                </c:pt>
                <c:pt idx="5">
                  <c:v>23500.5</c:v>
                </c:pt>
                <c:pt idx="6">
                  <c:v>11799</c:v>
                </c:pt>
                <c:pt idx="7">
                  <c:v>15417</c:v>
                </c:pt>
                <c:pt idx="8">
                  <c:v>20191.5</c:v>
                </c:pt>
                <c:pt idx="9">
                  <c:v>18090.75</c:v>
                </c:pt>
                <c:pt idx="10">
                  <c:v>21005.25</c:v>
                </c:pt>
                <c:pt idx="11">
                  <c:v>19982.25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23-4441-94C3-7120DA60C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824287"/>
        <c:axId val="1483826207"/>
      </c:barChart>
      <c:catAx>
        <c:axId val="148382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826207"/>
        <c:crosses val="autoZero"/>
        <c:auto val="1"/>
        <c:lblAlgn val="ctr"/>
        <c:lblOffset val="100"/>
        <c:noMultiLvlLbl val="0"/>
      </c:catAx>
      <c:valAx>
        <c:axId val="148382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82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</a:t>
            </a:r>
            <a:r>
              <a:rPr lang="en-IN" baseline="0"/>
              <a:t> Sales  and Expenses for each month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'3b Essendon Data'!$G$3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'3b Essendon Data'!$B$4:$B$15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'3b Essendon Data'!$G$4:$G$15</c:f>
              <c:numCache>
                <c:formatCode>#,##0.00</c:formatCode>
                <c:ptCount val="12"/>
                <c:pt idx="0">
                  <c:v>34488</c:v>
                </c:pt>
                <c:pt idx="1">
                  <c:v>43943</c:v>
                </c:pt>
                <c:pt idx="2">
                  <c:v>34488</c:v>
                </c:pt>
                <c:pt idx="3">
                  <c:v>55066</c:v>
                </c:pt>
                <c:pt idx="4">
                  <c:v>47910</c:v>
                </c:pt>
                <c:pt idx="5">
                  <c:v>51998</c:v>
                </c:pt>
                <c:pt idx="6">
                  <c:v>21107</c:v>
                </c:pt>
                <c:pt idx="7">
                  <c:v>35409</c:v>
                </c:pt>
                <c:pt idx="8">
                  <c:v>42341</c:v>
                </c:pt>
                <c:pt idx="9">
                  <c:v>46559</c:v>
                </c:pt>
                <c:pt idx="10">
                  <c:v>47036</c:v>
                </c:pt>
                <c:pt idx="11">
                  <c:v>40010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B-46AF-BB29-DD700E4FA5AC}"/>
            </c:ext>
          </c:extLst>
        </c:ser>
        <c:ser>
          <c:idx val="1"/>
          <c:order val="1"/>
          <c:tx>
            <c:strRef>
              <c:f>'3b Essendon Data'!$H$3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'3b Essendon Data'!$B$4:$B$15</c:f>
              <c:strCache>
                <c:ptCount val="12"/>
                <c:pt idx="0">
                  <c:v>July</c:v>
                </c:pt>
                <c:pt idx="1">
                  <c:v>August</c:v>
                </c:pt>
                <c:pt idx="2">
                  <c:v>September</c:v>
                </c:pt>
                <c:pt idx="3">
                  <c:v>October</c:v>
                </c:pt>
                <c:pt idx="4">
                  <c:v>November</c:v>
                </c:pt>
                <c:pt idx="5">
                  <c:v>December</c:v>
                </c:pt>
                <c:pt idx="6">
                  <c:v>January</c:v>
                </c:pt>
                <c:pt idx="7">
                  <c:v>February</c:v>
                </c:pt>
                <c:pt idx="8">
                  <c:v>March</c:v>
                </c:pt>
                <c:pt idx="9">
                  <c:v>April</c:v>
                </c:pt>
                <c:pt idx="10">
                  <c:v>May</c:v>
                </c:pt>
                <c:pt idx="11">
                  <c:v>June</c:v>
                </c:pt>
              </c:strCache>
            </c:strRef>
          </c:cat>
          <c:val>
            <c:numRef>
              <c:f>'3b Essendon Data'!$H$4:$H$15</c:f>
              <c:numCache>
                <c:formatCode>#,##0.00</c:formatCode>
                <c:ptCount val="12"/>
                <c:pt idx="0">
                  <c:v>23200</c:v>
                </c:pt>
                <c:pt idx="1">
                  <c:v>25979</c:v>
                </c:pt>
                <c:pt idx="2">
                  <c:v>23410</c:v>
                </c:pt>
                <c:pt idx="3">
                  <c:v>27889</c:v>
                </c:pt>
                <c:pt idx="4">
                  <c:v>27090</c:v>
                </c:pt>
                <c:pt idx="5">
                  <c:v>31334</c:v>
                </c:pt>
                <c:pt idx="6">
                  <c:v>15732</c:v>
                </c:pt>
                <c:pt idx="7">
                  <c:v>20556</c:v>
                </c:pt>
                <c:pt idx="8">
                  <c:v>26922</c:v>
                </c:pt>
                <c:pt idx="9">
                  <c:v>24121</c:v>
                </c:pt>
                <c:pt idx="10">
                  <c:v>28007</c:v>
                </c:pt>
                <c:pt idx="11">
                  <c:v>26643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1B-46AF-BB29-DD700E4FA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1081999"/>
        <c:axId val="1531066159"/>
      </c:barChart>
      <c:catAx>
        <c:axId val="1531081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066159"/>
        <c:crosses val="autoZero"/>
        <c:auto val="1"/>
        <c:lblAlgn val="ctr"/>
        <c:lblOffset val="100"/>
        <c:noMultiLvlLbl val="0"/>
      </c:catAx>
      <c:valAx>
        <c:axId val="1531066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081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Selling</a:t>
            </a:r>
            <a:r>
              <a:rPr lang="en-IN" baseline="0"/>
              <a:t> Price</a:t>
            </a:r>
            <a:r>
              <a:rPr lang="en-IN"/>
              <a:t> per item($)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'3c Drinks Sales Analysis for 7 '!$D$4</c:f>
              <c:strCache>
                <c:ptCount val="1"/>
                <c:pt idx="0">
                  <c:v>Cost per item($)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'3c Drinks Sales Analysis for 7 '!$B$5:$B$10</c:f>
              <c:strCache>
                <c:ptCount val="6"/>
                <c:pt idx="0">
                  <c:v>Soft Drink Cans </c:v>
                </c:pt>
                <c:pt idx="1">
                  <c:v>Lattes</c:v>
                </c:pt>
                <c:pt idx="2">
                  <c:v>Espresso</c:v>
                </c:pt>
                <c:pt idx="3">
                  <c:v>Fresh OJs</c:v>
                </c:pt>
                <c:pt idx="4">
                  <c:v>Milkshake</c:v>
                </c:pt>
                <c:pt idx="5">
                  <c:v>Pot Tea</c:v>
                </c:pt>
              </c:strCache>
            </c:strRef>
          </c:cat>
          <c:val>
            <c:numRef>
              <c:f>'3c Drinks Sales Analysis for 7 '!$D$5:$D$10</c:f>
              <c:numCache>
                <c:formatCode>General</c:formatCode>
                <c:ptCount val="6"/>
                <c:pt idx="0">
                  <c:v>3.6</c:v>
                </c:pt>
                <c:pt idx="1">
                  <c:v>4.5999999999999996</c:v>
                </c:pt>
                <c:pt idx="2">
                  <c:v>3.95</c:v>
                </c:pt>
                <c:pt idx="3">
                  <c:v>5.5</c:v>
                </c:pt>
                <c:pt idx="4">
                  <c:v>8.5</c:v>
                </c:pt>
                <c:pt idx="5">
                  <c:v>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1-4C00-B62C-997F8FA55F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5961616"/>
        <c:axId val="395961136"/>
      </c:barChart>
      <c:catAx>
        <c:axId val="39596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61136"/>
        <c:crosses val="autoZero"/>
        <c:auto val="1"/>
        <c:lblAlgn val="ctr"/>
        <c:lblOffset val="100"/>
        <c:noMultiLvlLbl val="0"/>
      </c:catAx>
      <c:valAx>
        <c:axId val="39596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6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</a:t>
            </a:r>
            <a:r>
              <a:rPr lang="en-IN" baseline="0"/>
              <a:t> Cafe Revenue and Profits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'4b Consolidated Cafe Data'!$H$3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'4b Consolidated Cafe Data'!$G$4:$G$7</c:f>
              <c:strCache>
                <c:ptCount val="4"/>
                <c:pt idx="0">
                  <c:v>Ringwood</c:v>
                </c:pt>
                <c:pt idx="1">
                  <c:v>Weribee</c:v>
                </c:pt>
                <c:pt idx="2">
                  <c:v>Glen Waverley</c:v>
                </c:pt>
                <c:pt idx="3">
                  <c:v>Assendon</c:v>
                </c:pt>
              </c:strCache>
            </c:strRef>
          </c:cat>
          <c:val>
            <c:numRef>
              <c:f>'4b Consolidated Cafe Data'!$H$4:$H$7</c:f>
              <c:numCache>
                <c:formatCode>General</c:formatCode>
                <c:ptCount val="4"/>
                <c:pt idx="0">
                  <c:v>740970</c:v>
                </c:pt>
                <c:pt idx="1">
                  <c:v>727951</c:v>
                </c:pt>
                <c:pt idx="2">
                  <c:v>721320</c:v>
                </c:pt>
                <c:pt idx="3">
                  <c:v>500355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B-49B9-96B1-E620434D8B02}"/>
            </c:ext>
          </c:extLst>
        </c:ser>
        <c:ser>
          <c:idx val="1"/>
          <c:order val="1"/>
          <c:tx>
            <c:strRef>
              <c:f>'4b Consolidated Cafe Data'!$J$3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'4b Consolidated Cafe Data'!$G$4:$G$7</c:f>
              <c:strCache>
                <c:ptCount val="4"/>
                <c:pt idx="0">
                  <c:v>Ringwood</c:v>
                </c:pt>
                <c:pt idx="1">
                  <c:v>Weribee</c:v>
                </c:pt>
                <c:pt idx="2">
                  <c:v>Glen Waverley</c:v>
                </c:pt>
                <c:pt idx="3">
                  <c:v>Assendon</c:v>
                </c:pt>
              </c:strCache>
            </c:strRef>
          </c:cat>
          <c:val>
            <c:numRef>
              <c:f>'4b Consolidated Cafe Data'!$J$4:$J$7</c:f>
              <c:numCache>
                <c:formatCode>General</c:formatCode>
                <c:ptCount val="4"/>
                <c:pt idx="0">
                  <c:v>369189</c:v>
                </c:pt>
                <c:pt idx="1">
                  <c:v>364599</c:v>
                </c:pt>
                <c:pt idx="2">
                  <c:v>377678</c:v>
                </c:pt>
                <c:pt idx="3">
                  <c:v>199472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B-49B9-96B1-E620434D8B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31922207"/>
        <c:axId val="2031930847"/>
      </c:barChart>
      <c:catAx>
        <c:axId val="2031922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Shop</a:t>
                </a:r>
                <a:r>
                  <a:rPr lang="en-IN" baseline="0"/>
                  <a:t> name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930847"/>
        <c:crosses val="autoZero"/>
        <c:auto val="1"/>
        <c:lblAlgn val="ctr"/>
        <c:lblOffset val="100"/>
        <c:noMultiLvlLbl val="0"/>
      </c:catAx>
      <c:valAx>
        <c:axId val="203193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Currency</a:t>
                </a:r>
                <a:r>
                  <a:rPr lang="en-IN" baseline="0"/>
                  <a:t> in Dollars</a:t>
                </a:r>
              </a:p>
              <a:p>
                <a:pPr>
                  <a:defRPr/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922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Profits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'4b Consolidated Cafe Data'!$J$3</c:f>
              <c:strCache>
                <c:ptCount val="1"/>
                <c:pt idx="0">
                  <c:v>Total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53-4882-A35F-F98B127046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53-4882-A35F-F98B127046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53-4882-A35F-F98B127046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53-4882-A35F-F98B127046AC}"/>
              </c:ext>
            </c:extLst>
          </c:dPt>
          <c:dLbls>
            <c:dLbl>
              <c:idx val="3"/>
              <c:tx>
                <c:rich>
                  <a:bodyPr/>
                  <a:lstStyle/>
                  <a:p>
                    <a:fld id="{BEFBA352-1E38-438C-BA02-6EBC9E96D27C}" type="VALUE">
                      <a:rPr lang="en-US"/>
                      <a:pPr/>
                      <a:t>[VALUE]</a:t>
                    </a:fld>
                    <a:endParaRPr lang="en-US"/>
                  </a:p>
                  <a:p>
                    <a:r>
                      <a:rPr lang="en-US" baseline="0"/>
                      <a:t>, </a:t>
                    </a:r>
                    <a:fld id="{F83D10BA-4B89-4C74-BCBD-326EAC949183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C153-4882-A35F-F98B127046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'4b Consolidated Cafe Data'!$G$4:$G$7</c:f>
              <c:strCache>
                <c:ptCount val="4"/>
                <c:pt idx="0">
                  <c:v>Ringwood</c:v>
                </c:pt>
                <c:pt idx="1">
                  <c:v>Weribee</c:v>
                </c:pt>
                <c:pt idx="2">
                  <c:v>Glen Waverley</c:v>
                </c:pt>
                <c:pt idx="3">
                  <c:v>Assendon</c:v>
                </c:pt>
              </c:strCache>
            </c:strRef>
          </c:cat>
          <c:val>
            <c:numRef>
              <c:f>'4b Consolidated Cafe Data'!$J$4:$J$7</c:f>
              <c:numCache>
                <c:formatCode>General</c:formatCode>
                <c:ptCount val="4"/>
                <c:pt idx="0">
                  <c:v>369189</c:v>
                </c:pt>
                <c:pt idx="1">
                  <c:v>364599</c:v>
                </c:pt>
                <c:pt idx="2">
                  <c:v>377678</c:v>
                </c:pt>
                <c:pt idx="3">
                  <c:v>199472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153-4882-A35F-F98B127046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Total Cafe Revenue, Expenses and Profits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'4b Consolidated Cafe Data'!$H$3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'4b Consolidated Cafe Data'!$G$4:$G$7</c:f>
              <c:strCache>
                <c:ptCount val="4"/>
                <c:pt idx="0">
                  <c:v>Ringwood</c:v>
                </c:pt>
                <c:pt idx="1">
                  <c:v>Weribee</c:v>
                </c:pt>
                <c:pt idx="2">
                  <c:v>Glen Waverley</c:v>
                </c:pt>
                <c:pt idx="3">
                  <c:v>Assendon</c:v>
                </c:pt>
              </c:strCache>
            </c:strRef>
          </c:cat>
          <c:val>
            <c:numRef>
              <c:f>'4b Consolidated Cafe Data'!$H$4:$H$7</c:f>
              <c:numCache>
                <c:formatCode>General</c:formatCode>
                <c:ptCount val="4"/>
                <c:pt idx="0">
                  <c:v>740970</c:v>
                </c:pt>
                <c:pt idx="1">
                  <c:v>727951</c:v>
                </c:pt>
                <c:pt idx="2">
                  <c:v>721320</c:v>
                </c:pt>
                <c:pt idx="3">
                  <c:v>500355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4-49A8-9268-193279169A1F}"/>
            </c:ext>
          </c:extLst>
        </c:ser>
        <c:ser>
          <c:idx val="1"/>
          <c:order val="1"/>
          <c:tx>
            <c:strRef>
              <c:f>'4b Consolidated Cafe Data'!$I$3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'4b Consolidated Cafe Data'!$G$4:$G$7</c:f>
              <c:strCache>
                <c:ptCount val="4"/>
                <c:pt idx="0">
                  <c:v>Ringwood</c:v>
                </c:pt>
                <c:pt idx="1">
                  <c:v>Weribee</c:v>
                </c:pt>
                <c:pt idx="2">
                  <c:v>Glen Waverley</c:v>
                </c:pt>
                <c:pt idx="3">
                  <c:v>Assendon</c:v>
                </c:pt>
              </c:strCache>
            </c:strRef>
          </c:cat>
          <c:val>
            <c:numRef>
              <c:f>'4b Consolidated Cafe Data'!$I$4:$I$7</c:f>
              <c:numCache>
                <c:formatCode>General</c:formatCode>
                <c:ptCount val="4"/>
                <c:pt idx="0">
                  <c:v>371781</c:v>
                </c:pt>
                <c:pt idx="1">
                  <c:v>363352</c:v>
                </c:pt>
                <c:pt idx="2">
                  <c:v>343642</c:v>
                </c:pt>
                <c:pt idx="3">
                  <c:v>300883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24-49A8-9268-193279169A1F}"/>
            </c:ext>
          </c:extLst>
        </c:ser>
        <c:ser>
          <c:idx val="2"/>
          <c:order val="2"/>
          <c:tx>
            <c:strRef>
              <c:f>'4b Consolidated Cafe Data'!$J$3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'4b Consolidated Cafe Data'!$G$4:$G$7</c:f>
              <c:strCache>
                <c:ptCount val="4"/>
                <c:pt idx="0">
                  <c:v>Ringwood</c:v>
                </c:pt>
                <c:pt idx="1">
                  <c:v>Weribee</c:v>
                </c:pt>
                <c:pt idx="2">
                  <c:v>Glen Waverley</c:v>
                </c:pt>
                <c:pt idx="3">
                  <c:v>Assendon</c:v>
                </c:pt>
              </c:strCache>
            </c:strRef>
          </c:cat>
          <c:val>
            <c:numRef>
              <c:f>'4b Consolidated Cafe Data'!$J$4:$J$7</c:f>
              <c:numCache>
                <c:formatCode>General</c:formatCode>
                <c:ptCount val="4"/>
                <c:pt idx="0">
                  <c:v>369189</c:v>
                </c:pt>
                <c:pt idx="1">
                  <c:v>364599</c:v>
                </c:pt>
                <c:pt idx="2">
                  <c:v>377678</c:v>
                </c:pt>
                <c:pt idx="3">
                  <c:v>199472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24-49A8-9268-193279169A1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31069999"/>
        <c:axId val="1531065679"/>
      </c:barChart>
      <c:catAx>
        <c:axId val="1531069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Shop</a:t>
                </a:r>
                <a:r>
                  <a:rPr lang="en-US" baseline="0"/>
                  <a:t> name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065679"/>
        <c:crosses val="autoZero"/>
        <c:auto val="1"/>
        <c:lblAlgn val="ctr"/>
        <c:lblOffset val="100"/>
        <c:noMultiLvlLbl val="0"/>
      </c:catAx>
      <c:valAx>
        <c:axId val="153106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Currency in 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06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1C47F7-AA5E-44BC-8EE1-50EDF5F1AA8E}">
  <sheetPr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114299</xdr:colOff>
      <xdr:row>17</xdr:row>
      <xdr:rowOff>76199</xdr:rowOff>
    </xdr:from>
    <xdr:to>
      <xdr:col>26</xdr:col>
      <xdr:colOff>219074</xdr:colOff>
      <xdr:row>31</xdr:row>
      <xdr:rowOff>161924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DCC4486-4C07-4F5D-8C2E-CA1E1DE79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18</xdr:row>
      <xdr:rowOff>0</xdr:rowOff>
    </xdr:from>
    <xdr:to>
      <xdr:col>8</xdr:col>
      <xdr:colOff>342900</xdr:colOff>
      <xdr:row>32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5A59A6A-FE11-4185-883C-DE1C80C6D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400050</xdr:colOff>
      <xdr:row>18</xdr:row>
      <xdr:rowOff>28575</xdr:rowOff>
    </xdr:from>
    <xdr:to>
      <xdr:col>17</xdr:col>
      <xdr:colOff>323850</xdr:colOff>
      <xdr:row>32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059D47-1CD1-49F3-82F8-696ABB694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552449</xdr:colOff>
      <xdr:row>0</xdr:row>
      <xdr:rowOff>190499</xdr:rowOff>
    </xdr:from>
    <xdr:to>
      <xdr:col>26</xdr:col>
      <xdr:colOff>219074</xdr:colOff>
      <xdr:row>16</xdr:row>
      <xdr:rowOff>9524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FC36C1-63D8-4BE7-9638-2749DCB4F6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438149</xdr:colOff>
      <xdr:row>1</xdr:row>
      <xdr:rowOff>0</xdr:rowOff>
    </xdr:from>
    <xdr:to>
      <xdr:col>17</xdr:col>
      <xdr:colOff>333374</xdr:colOff>
      <xdr:row>16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30829F4-0E61-F490-BAC0-BF3CA77B6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absoluteAnchor>
    <xdr:pos x="676275" y="190500"/>
    <xdr:ext cx="5181600" cy="27432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D5EA630-9164-45E7-A2F6-9AB296BF4AF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55B698-6C4D-F7BE-5BF3-201E4FE310B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419099</xdr:colOff>
      <xdr:row>1</xdr:row>
      <xdr:rowOff>123824</xdr:rowOff>
    </xdr:from>
    <xdr:to>
      <xdr:col>10</xdr:col>
      <xdr:colOff>161924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82BD38-A322-4B41-ADC8-C84516365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581024</xdr:colOff>
      <xdr:row>1</xdr:row>
      <xdr:rowOff>76199</xdr:rowOff>
    </xdr:from>
    <xdr:to>
      <xdr:col>21</xdr:col>
      <xdr:colOff>190499</xdr:colOff>
      <xdr:row>18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70313C-24F5-41A9-A975-90542016FA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200024</xdr:colOff>
      <xdr:row>19</xdr:row>
      <xdr:rowOff>9523</xdr:rowOff>
    </xdr:from>
    <xdr:to>
      <xdr:col>20</xdr:col>
      <xdr:colOff>514350</xdr:colOff>
      <xdr:row>38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746D0B-9166-40BC-8B59-CCDA43CD9F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2A913-9C80-4CA8-A1DB-9AADDC1B2C3B}">
  <sheetPr codeName="Sheet1">
    <pageSetUpPr fitToPage="1"/>
  </sheetPr>
  <dimension ref="A1:J28"/>
  <sheetViews>
    <sheetView zoomScaleNormal="100" workbookViewId="0">
      <selection activeCell="D21" sqref="D21"/>
    </sheetView>
  </sheetViews>
  <sheetFormatPr defaultRowHeight="14.25"/>
  <cols>
    <col min="2" max="2" width="26" customWidth="1"/>
    <col min="3" max="4" width="25" customWidth="1"/>
    <col min="5" max="5" width="37" customWidth="1"/>
    <col min="6" max="6" width="24.125" customWidth="1"/>
    <col min="7" max="7" width="31.375" customWidth="1"/>
    <col min="8" max="8" width="41" customWidth="1"/>
    <col min="9" max="9" width="28" customWidth="1"/>
    <col min="10" max="10" width="28.625" customWidth="1"/>
    <col min="11" max="11" width="22.25" customWidth="1"/>
    <col min="12" max="12" width="28.125" customWidth="1"/>
  </cols>
  <sheetData>
    <row r="1" spans="1:10" s="17" customFormat="1" ht="15" customHeight="1">
      <c r="A1" s="22" t="s">
        <v>62</v>
      </c>
    </row>
    <row r="2" spans="1:10" ht="15.75">
      <c r="C2" s="7"/>
      <c r="D2" s="7"/>
      <c r="E2" s="7"/>
      <c r="F2" s="7"/>
    </row>
    <row r="3" spans="1:10" ht="15.75">
      <c r="B3" s="23" t="s">
        <v>0</v>
      </c>
      <c r="C3" s="24" t="s">
        <v>63</v>
      </c>
      <c r="D3" s="24" t="s">
        <v>65</v>
      </c>
      <c r="E3" s="24" t="s">
        <v>66</v>
      </c>
      <c r="F3" s="24" t="s">
        <v>64</v>
      </c>
      <c r="G3" s="24" t="s">
        <v>2</v>
      </c>
      <c r="H3" s="25" t="s">
        <v>1</v>
      </c>
      <c r="J3" s="18"/>
    </row>
    <row r="4" spans="1:10" ht="15">
      <c r="B4" s="3" t="s">
        <v>4</v>
      </c>
      <c r="C4" s="26">
        <v>24454</v>
      </c>
      <c r="D4" s="26">
        <v>10034</v>
      </c>
      <c r="E4" s="26">
        <f>0.25*H4</f>
        <v>5800</v>
      </c>
      <c r="F4" s="26">
        <f>H4*0.75</f>
        <v>17400</v>
      </c>
      <c r="G4" s="26">
        <f>D4+C4</f>
        <v>34488</v>
      </c>
      <c r="H4" s="27">
        <v>23200</v>
      </c>
      <c r="J4" s="21"/>
    </row>
    <row r="5" spans="1:10" ht="15">
      <c r="B5" s="3" t="s">
        <v>5</v>
      </c>
      <c r="C5" s="26">
        <v>28876</v>
      </c>
      <c r="D5" s="26">
        <v>15067</v>
      </c>
      <c r="E5" s="26">
        <f t="shared" ref="E5:E15" si="0">0.25*H5</f>
        <v>6494.75</v>
      </c>
      <c r="F5" s="26">
        <f t="shared" ref="F5:F15" si="1">H5*0.75</f>
        <v>19484.25</v>
      </c>
      <c r="G5" s="26">
        <f t="shared" ref="G5:G15" si="2">D5+C5</f>
        <v>43943</v>
      </c>
      <c r="H5" s="28">
        <v>25979</v>
      </c>
      <c r="J5" s="21"/>
    </row>
    <row r="6" spans="1:10" ht="15">
      <c r="B6" s="3" t="s">
        <v>6</v>
      </c>
      <c r="C6" s="26">
        <v>24400</v>
      </c>
      <c r="D6" s="26">
        <v>10088</v>
      </c>
      <c r="E6" s="26">
        <f t="shared" si="0"/>
        <v>5852.5</v>
      </c>
      <c r="F6" s="26">
        <f t="shared" si="1"/>
        <v>17557.5</v>
      </c>
      <c r="G6" s="26">
        <f t="shared" si="2"/>
        <v>34488</v>
      </c>
      <c r="H6" s="28">
        <v>23410</v>
      </c>
      <c r="J6" s="21"/>
    </row>
    <row r="7" spans="1:10" ht="15">
      <c r="B7" s="3" t="s">
        <v>7</v>
      </c>
      <c r="C7" s="26">
        <v>34999</v>
      </c>
      <c r="D7" s="26">
        <v>20067</v>
      </c>
      <c r="E7" s="26">
        <f t="shared" si="0"/>
        <v>6972.25</v>
      </c>
      <c r="F7" s="26">
        <f t="shared" si="1"/>
        <v>20916.75</v>
      </c>
      <c r="G7" s="26">
        <f t="shared" si="2"/>
        <v>55066</v>
      </c>
      <c r="H7" s="28">
        <v>27889</v>
      </c>
      <c r="J7" s="21"/>
    </row>
    <row r="8" spans="1:10" ht="15">
      <c r="B8" s="3" t="s">
        <v>8</v>
      </c>
      <c r="C8" s="26">
        <v>32965</v>
      </c>
      <c r="D8" s="26">
        <v>14945</v>
      </c>
      <c r="E8" s="26">
        <f t="shared" si="0"/>
        <v>6772.5</v>
      </c>
      <c r="F8" s="26">
        <f t="shared" si="1"/>
        <v>20317.5</v>
      </c>
      <c r="G8" s="26">
        <f t="shared" si="2"/>
        <v>47910</v>
      </c>
      <c r="H8" s="28">
        <v>27090</v>
      </c>
      <c r="J8" s="21"/>
    </row>
    <row r="9" spans="1:10" ht="15">
      <c r="B9" s="3" t="s">
        <v>9</v>
      </c>
      <c r="C9" s="26">
        <v>36933</v>
      </c>
      <c r="D9" s="26">
        <v>15065</v>
      </c>
      <c r="E9" s="26">
        <f t="shared" si="0"/>
        <v>7833.5</v>
      </c>
      <c r="F9" s="26">
        <f t="shared" si="1"/>
        <v>23500.5</v>
      </c>
      <c r="G9" s="26">
        <f t="shared" si="2"/>
        <v>51998</v>
      </c>
      <c r="H9" s="28">
        <v>31334</v>
      </c>
      <c r="J9" s="21"/>
    </row>
    <row r="10" spans="1:10" ht="15">
      <c r="B10" s="3" t="s">
        <v>10</v>
      </c>
      <c r="C10" s="26">
        <v>15987</v>
      </c>
      <c r="D10" s="26">
        <v>5120</v>
      </c>
      <c r="E10" s="26">
        <f t="shared" si="0"/>
        <v>3933</v>
      </c>
      <c r="F10" s="26">
        <f t="shared" si="1"/>
        <v>11799</v>
      </c>
      <c r="G10" s="26">
        <f t="shared" si="2"/>
        <v>21107</v>
      </c>
      <c r="H10" s="28">
        <v>15732</v>
      </c>
      <c r="J10" s="21"/>
    </row>
    <row r="11" spans="1:10" ht="15">
      <c r="B11" s="3" t="s">
        <v>11</v>
      </c>
      <c r="C11" s="26">
        <v>24332</v>
      </c>
      <c r="D11" s="26">
        <v>11077</v>
      </c>
      <c r="E11" s="26">
        <f t="shared" si="0"/>
        <v>5139</v>
      </c>
      <c r="F11" s="26">
        <f t="shared" si="1"/>
        <v>15417</v>
      </c>
      <c r="G11" s="26">
        <f t="shared" si="2"/>
        <v>35409</v>
      </c>
      <c r="H11" s="28">
        <v>20556</v>
      </c>
      <c r="J11" s="21"/>
    </row>
    <row r="12" spans="1:10" ht="15">
      <c r="B12" s="3" t="s">
        <v>12</v>
      </c>
      <c r="C12" s="26">
        <v>29909</v>
      </c>
      <c r="D12" s="26">
        <v>12432</v>
      </c>
      <c r="E12" s="26">
        <f t="shared" si="0"/>
        <v>6730.5</v>
      </c>
      <c r="F12" s="26">
        <f t="shared" si="1"/>
        <v>20191.5</v>
      </c>
      <c r="G12" s="26">
        <f t="shared" si="2"/>
        <v>42341</v>
      </c>
      <c r="H12" s="28">
        <v>26922</v>
      </c>
      <c r="J12" s="21"/>
    </row>
    <row r="13" spans="1:10" ht="15">
      <c r="B13" s="3" t="s">
        <v>13</v>
      </c>
      <c r="C13" s="26">
        <v>33011</v>
      </c>
      <c r="D13" s="26">
        <v>13548</v>
      </c>
      <c r="E13" s="26">
        <f t="shared" si="0"/>
        <v>6030.25</v>
      </c>
      <c r="F13" s="26">
        <f t="shared" si="1"/>
        <v>18090.75</v>
      </c>
      <c r="G13" s="26">
        <f t="shared" si="2"/>
        <v>46559</v>
      </c>
      <c r="H13" s="28">
        <v>24121</v>
      </c>
      <c r="J13" s="21"/>
    </row>
    <row r="14" spans="1:10" ht="15">
      <c r="B14" s="3" t="s">
        <v>14</v>
      </c>
      <c r="C14" s="26">
        <v>32909</v>
      </c>
      <c r="D14" s="26">
        <v>14127</v>
      </c>
      <c r="E14" s="26">
        <f t="shared" si="0"/>
        <v>7001.75</v>
      </c>
      <c r="F14" s="26">
        <f t="shared" si="1"/>
        <v>21005.25</v>
      </c>
      <c r="G14" s="26">
        <f t="shared" si="2"/>
        <v>47036</v>
      </c>
      <c r="H14" s="28">
        <v>28007</v>
      </c>
      <c r="J14" s="21"/>
    </row>
    <row r="15" spans="1:10" ht="15">
      <c r="B15" s="3" t="s">
        <v>15</v>
      </c>
      <c r="C15" s="26">
        <v>24556</v>
      </c>
      <c r="D15" s="26">
        <v>15454</v>
      </c>
      <c r="E15" s="26">
        <f t="shared" si="0"/>
        <v>6660.75</v>
      </c>
      <c r="F15" s="26">
        <f t="shared" si="1"/>
        <v>19982.25</v>
      </c>
      <c r="G15" s="26">
        <f t="shared" si="2"/>
        <v>40010</v>
      </c>
      <c r="H15" s="28">
        <v>26643</v>
      </c>
      <c r="J15" s="21"/>
    </row>
    <row r="16" spans="1:10" ht="15">
      <c r="B16" s="3" t="s">
        <v>17</v>
      </c>
      <c r="C16" s="2" t="str">
        <f>IF(COUNTA(C4:C15)=12,"All months included","Check data - missing months")</f>
        <v>All months included</v>
      </c>
      <c r="D16" s="2" t="str">
        <f t="shared" ref="D16:E16" si="3">IF(COUNTA(D4:D15)=12,"All months included","Check data - missing months")</f>
        <v>All months included</v>
      </c>
      <c r="E16" s="2" t="str">
        <f t="shared" si="3"/>
        <v>All months included</v>
      </c>
      <c r="F16" s="2" t="str">
        <f t="shared" ref="F16" si="4">IF(COUNTA(F4:F15)=12,"All months included","Check data - missing months")</f>
        <v>All months included</v>
      </c>
      <c r="G16" s="2" t="str">
        <f t="shared" ref="G16" si="5">IF(COUNTA(G4:G15)=12,"All months included","Check data - missing months")</f>
        <v>All months included</v>
      </c>
      <c r="H16" s="4" t="str">
        <f t="shared" ref="H16" si="6">IF(COUNTA(H4:H15)=12,"All months included","Check data - missing months")</f>
        <v>All months included</v>
      </c>
      <c r="J16" s="2"/>
    </row>
    <row r="17" spans="2:10" ht="15">
      <c r="B17" s="33" t="s">
        <v>16</v>
      </c>
      <c r="C17" s="39">
        <f>SUM(C4:C15)</f>
        <v>343331</v>
      </c>
      <c r="D17" s="39">
        <f>SUM(D4:D15)</f>
        <v>157024</v>
      </c>
      <c r="E17" s="39">
        <f t="shared" ref="E17" si="7">SUM(E4:E15)</f>
        <v>75220.75</v>
      </c>
      <c r="F17" s="39">
        <f>SUM(F4:F15)</f>
        <v>225662.25</v>
      </c>
      <c r="G17" s="40">
        <f t="shared" ref="G17" si="8">SUM(G4:G15)</f>
        <v>500355</v>
      </c>
      <c r="H17" s="40">
        <f t="shared" ref="H17" si="9">SUM(H4:H15)</f>
        <v>300883</v>
      </c>
      <c r="I17" s="29"/>
      <c r="J17" s="2"/>
    </row>
    <row r="18" spans="2:10" ht="15">
      <c r="B18" s="2"/>
      <c r="C18" s="20"/>
      <c r="D18" s="20"/>
      <c r="E18" s="20"/>
      <c r="F18" s="20"/>
      <c r="G18" s="20"/>
      <c r="H18" s="20"/>
      <c r="I18" s="2"/>
      <c r="J18" s="2"/>
    </row>
    <row r="19" spans="2:10" ht="15">
      <c r="B19" s="2"/>
      <c r="C19" s="20"/>
      <c r="D19" s="20"/>
      <c r="E19" s="20"/>
      <c r="F19" s="20"/>
      <c r="G19" s="20"/>
      <c r="H19" s="20"/>
      <c r="I19" s="2"/>
      <c r="J19" s="2"/>
    </row>
    <row r="20" spans="2:10" ht="15">
      <c r="B20" s="19" t="s">
        <v>2</v>
      </c>
      <c r="C20" s="30">
        <f>G17</f>
        <v>500355</v>
      </c>
      <c r="D20" s="2"/>
      <c r="E20" s="2"/>
      <c r="F20" s="2"/>
      <c r="G20" s="2"/>
      <c r="H20" s="2"/>
      <c r="I20" s="2"/>
      <c r="J20" s="2"/>
    </row>
    <row r="21" spans="2:10" ht="15">
      <c r="B21" s="3" t="s">
        <v>1</v>
      </c>
      <c r="C21" s="28">
        <f>H17</f>
        <v>300883</v>
      </c>
      <c r="D21" s="2"/>
      <c r="E21" s="2"/>
      <c r="F21" s="2"/>
      <c r="G21" s="2"/>
      <c r="H21" s="2"/>
      <c r="I21" s="11"/>
      <c r="J21" s="2"/>
    </row>
    <row r="22" spans="2:10" ht="15">
      <c r="B22" s="5" t="s">
        <v>69</v>
      </c>
      <c r="C22" s="31">
        <f>C20-C21</f>
        <v>199472</v>
      </c>
      <c r="F22" s="2"/>
      <c r="G22" s="2"/>
      <c r="H22" s="2"/>
      <c r="I22" s="2"/>
      <c r="J22" s="2"/>
    </row>
    <row r="23" spans="2:10" ht="15">
      <c r="B23" s="2"/>
      <c r="C23" s="26"/>
      <c r="F23" s="2"/>
      <c r="G23" s="2"/>
      <c r="H23" s="2"/>
      <c r="I23" s="2"/>
      <c r="J23" s="2"/>
    </row>
    <row r="24" spans="2:10" ht="15">
      <c r="B24" s="2"/>
      <c r="C24" s="26"/>
      <c r="E24" s="19" t="s">
        <v>74</v>
      </c>
      <c r="F24" s="30">
        <f>G17/4</f>
        <v>125088.75</v>
      </c>
      <c r="G24" s="26"/>
      <c r="H24" s="26"/>
      <c r="I24" s="26"/>
      <c r="J24" s="2"/>
    </row>
    <row r="25" spans="2:10" ht="15">
      <c r="B25" s="33" t="s">
        <v>18</v>
      </c>
      <c r="C25" s="32">
        <f>G17-H17</f>
        <v>199472</v>
      </c>
      <c r="E25" s="5" t="s">
        <v>3</v>
      </c>
      <c r="F25" s="31">
        <f>H17/4</f>
        <v>75220.75</v>
      </c>
      <c r="G25" s="26"/>
      <c r="H25" s="26"/>
      <c r="I25" s="26"/>
      <c r="J25" s="2"/>
    </row>
    <row r="26" spans="2:10" ht="15">
      <c r="B26" s="2"/>
      <c r="C26" s="26"/>
      <c r="D26" s="2"/>
      <c r="E26" s="2"/>
      <c r="F26" s="26"/>
      <c r="G26" s="26"/>
      <c r="H26" s="26"/>
      <c r="I26" s="26"/>
      <c r="J26" s="2"/>
    </row>
    <row r="27" spans="2:10" ht="15">
      <c r="B27" s="19" t="s">
        <v>19</v>
      </c>
      <c r="C27" s="30" cm="1">
        <f t="array" ref="C27">SUM(C4:C15-F4:F15)</f>
        <v>117668.75</v>
      </c>
      <c r="E27" s="19" t="s">
        <v>20</v>
      </c>
      <c r="F27" s="30">
        <f>SUM(C4:C15)</f>
        <v>343331</v>
      </c>
      <c r="G27" s="26"/>
      <c r="H27" s="34" t="s">
        <v>21</v>
      </c>
      <c r="I27" s="30">
        <f>SUM(F4:F15)</f>
        <v>225662.25</v>
      </c>
      <c r="J27" s="2"/>
    </row>
    <row r="28" spans="2:10" ht="15">
      <c r="B28" s="5" t="s">
        <v>22</v>
      </c>
      <c r="C28" s="31" cm="1">
        <f t="array" ref="C28">SUM(D4:D15-E4:E15)</f>
        <v>81803.25</v>
      </c>
      <c r="E28" s="5" t="s">
        <v>23</v>
      </c>
      <c r="F28" s="31">
        <f>SUM(D4:D15)</f>
        <v>157024</v>
      </c>
      <c r="G28" s="26"/>
      <c r="H28" s="35" t="s">
        <v>24</v>
      </c>
      <c r="I28" s="31">
        <f>SUM(E4:E15)</f>
        <v>75220.75</v>
      </c>
      <c r="J28" s="2"/>
    </row>
  </sheetData>
  <conditionalFormatting sqref="B4:H15">
    <cfRule type="expression" priority="2">
      <formula>MOD(ROW(),2)=0</formula>
    </cfRule>
    <cfRule type="expression" dxfId="5" priority="1">
      <formula>MOD(ROW(),2)=0</formula>
    </cfRule>
  </conditionalFormatting>
  <pageMargins left="0.70866141732283472" right="0.70866141732283472" top="0.74803149606299213" bottom="0.74803149606299213" header="0.31496062992125984" footer="0.31496062992125984"/>
  <pageSetup scale="45" orientation="landscape" r:id="rId1"/>
  <headerFooter>
    <oddHeader>&amp;R&amp;G</oddHeader>
    <oddFooter>&amp;L16 May 2024
EVA FITZPATRICK&amp;R&amp;P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8D516-FADE-41EF-97DE-F67455DC768A}">
  <sheetPr codeName="Sheet2">
    <pageSetUpPr fitToPage="1"/>
  </sheetPr>
  <dimension ref="A1"/>
  <sheetViews>
    <sheetView tabSelected="1" zoomScaleNormal="100" workbookViewId="0">
      <selection sqref="A1:XFD1048576"/>
    </sheetView>
  </sheetViews>
  <sheetFormatPr defaultColWidth="9.125" defaultRowHeight="14.25"/>
  <cols>
    <col min="1" max="16384" width="9.125" style="52"/>
  </cols>
  <sheetData/>
  <mergeCells count="1">
    <mergeCell ref="A1:XFD1048576"/>
  </mergeCells>
  <pageMargins left="0.70866141732283472" right="0.70866141732283472" top="0.74803149606299213" bottom="0.74803149606299213" header="0.31496062992125984" footer="0.31496062992125984"/>
  <pageSetup scale="33" orientation="portrait" r:id="rId1"/>
  <headerFooter>
    <oddHeader>&amp;R&amp;G</oddHeader>
    <oddFooter xml:space="preserve">&amp;L13 May 2024
EVA FITZPATRICK&amp;R&amp;P
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FC774-C29F-4514-A055-8A24FAC876A8}">
  <sheetPr codeName="Sheet3">
    <pageSetUpPr fitToPage="1"/>
  </sheetPr>
  <dimension ref="A1:E16"/>
  <sheetViews>
    <sheetView zoomScaleNormal="100" workbookViewId="0">
      <selection activeCell="G20" sqref="G20"/>
    </sheetView>
  </sheetViews>
  <sheetFormatPr defaultRowHeight="14.25"/>
  <cols>
    <col min="2" max="2" width="27.75" customWidth="1"/>
    <col min="3" max="3" width="26.625" customWidth="1"/>
    <col min="4" max="4" width="49" customWidth="1"/>
    <col min="5" max="5" width="24.125" customWidth="1"/>
  </cols>
  <sheetData>
    <row r="1" spans="1:5" s="15" customFormat="1" ht="15" customHeight="1">
      <c r="A1" s="14"/>
    </row>
    <row r="2" spans="1:5" s="15" customFormat="1" ht="18.75">
      <c r="A2" s="14" t="s">
        <v>25</v>
      </c>
    </row>
    <row r="4" spans="1:5" ht="15">
      <c r="B4" s="23" t="s">
        <v>26</v>
      </c>
      <c r="C4" s="24" t="s">
        <v>27</v>
      </c>
      <c r="D4" s="24" t="s">
        <v>34</v>
      </c>
      <c r="E4" s="25" t="s">
        <v>35</v>
      </c>
    </row>
    <row r="5" spans="1:5" ht="15">
      <c r="B5" s="3" t="s">
        <v>28</v>
      </c>
      <c r="C5" s="2">
        <v>25</v>
      </c>
      <c r="D5" s="2">
        <v>3.6</v>
      </c>
      <c r="E5" s="28">
        <f>C5*D5</f>
        <v>90</v>
      </c>
    </row>
    <row r="6" spans="1:5" ht="15">
      <c r="B6" s="3" t="s">
        <v>29</v>
      </c>
      <c r="C6" s="2">
        <v>504</v>
      </c>
      <c r="D6" s="2">
        <v>4.5999999999999996</v>
      </c>
      <c r="E6" s="28">
        <f t="shared" ref="E6:E10" si="0">C6*D6</f>
        <v>2318.3999999999996</v>
      </c>
    </row>
    <row r="7" spans="1:5" ht="15">
      <c r="B7" s="3" t="s">
        <v>30</v>
      </c>
      <c r="C7" s="2">
        <v>25</v>
      </c>
      <c r="D7" s="2">
        <v>3.95</v>
      </c>
      <c r="E7" s="28">
        <f t="shared" si="0"/>
        <v>98.75</v>
      </c>
    </row>
    <row r="8" spans="1:5" ht="15">
      <c r="B8" s="3" t="s">
        <v>31</v>
      </c>
      <c r="C8" s="2">
        <v>105</v>
      </c>
      <c r="D8" s="2">
        <v>5.5</v>
      </c>
      <c r="E8" s="28">
        <f t="shared" si="0"/>
        <v>577.5</v>
      </c>
    </row>
    <row r="9" spans="1:5" ht="15">
      <c r="B9" s="3" t="s">
        <v>32</v>
      </c>
      <c r="C9" s="2">
        <v>48</v>
      </c>
      <c r="D9" s="2">
        <v>8.5</v>
      </c>
      <c r="E9" s="28">
        <f t="shared" si="0"/>
        <v>408</v>
      </c>
    </row>
    <row r="10" spans="1:5" ht="15">
      <c r="B10" s="3" t="s">
        <v>33</v>
      </c>
      <c r="C10" s="2">
        <v>203</v>
      </c>
      <c r="D10" s="2">
        <v>5.75</v>
      </c>
      <c r="E10" s="28">
        <f t="shared" si="0"/>
        <v>1167.25</v>
      </c>
    </row>
    <row r="11" spans="1:5" ht="15">
      <c r="B11" s="3"/>
      <c r="C11" s="2"/>
      <c r="D11" s="2"/>
      <c r="E11" s="28"/>
    </row>
    <row r="12" spans="1:5" ht="15">
      <c r="B12" s="36" t="s">
        <v>36</v>
      </c>
      <c r="C12" s="37">
        <f>SUM(C5:C10)</f>
        <v>910</v>
      </c>
      <c r="D12" s="37">
        <f>SUM(D5:D10)</f>
        <v>31.9</v>
      </c>
      <c r="E12" s="38">
        <f>SUM(E5:E10)</f>
        <v>4659.8999999999996</v>
      </c>
    </row>
    <row r="14" spans="1:5" ht="15">
      <c r="B14" s="19" t="s">
        <v>37</v>
      </c>
      <c r="C14" s="30">
        <f>MIN(D5:D10)</f>
        <v>3.6</v>
      </c>
    </row>
    <row r="15" spans="1:5" ht="15">
      <c r="B15" s="3" t="s">
        <v>38</v>
      </c>
      <c r="C15" s="28">
        <f>MAX(D5:D10)</f>
        <v>8.5</v>
      </c>
    </row>
    <row r="16" spans="1:5" ht="15">
      <c r="B16" s="5" t="s">
        <v>39</v>
      </c>
      <c r="C16" s="31">
        <f>AVERAGE(D5:D10)</f>
        <v>5.3166666666666664</v>
      </c>
    </row>
  </sheetData>
  <conditionalFormatting sqref="B5:E10">
    <cfRule type="expression" dxfId="4" priority="1">
      <formula>MOD(ROW(),2)=0</formula>
    </cfRule>
  </conditionalFormatting>
  <pageMargins left="0.70866141732283472" right="0.70866141732283472" top="0.74803149606299213" bottom="0.74803149606299213" header="0.31496062992125984" footer="0.31496062992125984"/>
  <pageSetup scale="49" orientation="landscape" r:id="rId1"/>
  <headerFooter>
    <oddHeader>&amp;R&amp;G</oddHeader>
    <oddFooter>&amp;LEva Fitzpatrick
16 May 2024&amp;R&amp;P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CF1E-CC07-4EEF-ABD3-C4588EFCCCEA}">
  <sheetPr codeName="Sheet4">
    <pageSetUpPr fitToPage="1"/>
  </sheetPr>
  <dimension ref="A1:AA102"/>
  <sheetViews>
    <sheetView view="pageLayout" zoomScaleNormal="100" workbookViewId="0">
      <selection activeCell="D11" sqref="D11"/>
    </sheetView>
  </sheetViews>
  <sheetFormatPr defaultColWidth="8.875" defaultRowHeight="14.25"/>
  <cols>
    <col min="1" max="1" width="8.875" style="1"/>
    <col min="2" max="2" width="15.875" style="1" bestFit="1" customWidth="1"/>
    <col min="3" max="8" width="20.375" style="1" customWidth="1"/>
    <col min="9" max="16384" width="8.875" style="1"/>
  </cols>
  <sheetData>
    <row r="1" spans="1:27" s="9" customFormat="1" ht="15" customHeight="1">
      <c r="A1" s="22" t="s">
        <v>40</v>
      </c>
      <c r="B1" s="17"/>
      <c r="C1" s="17"/>
      <c r="D1" s="17"/>
      <c r="E1" s="17"/>
      <c r="F1" s="17"/>
      <c r="G1" s="17"/>
      <c r="H1" s="17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s="9" customFormat="1" ht="15.75">
      <c r="A2"/>
      <c r="B2"/>
      <c r="C2" s="7"/>
      <c r="D2" s="7"/>
      <c r="E2" s="7"/>
      <c r="F2" s="7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15.75">
      <c r="A3"/>
      <c r="B3" s="23" t="s">
        <v>0</v>
      </c>
      <c r="C3" s="24" t="s">
        <v>41</v>
      </c>
      <c r="D3" s="24" t="s">
        <v>42</v>
      </c>
      <c r="E3" s="24" t="s">
        <v>43</v>
      </c>
      <c r="F3" s="24" t="s">
        <v>44</v>
      </c>
      <c r="G3" s="24" t="s">
        <v>45</v>
      </c>
      <c r="H3" s="25" t="s">
        <v>46</v>
      </c>
      <c r="I3" s="7"/>
      <c r="J3" s="7"/>
      <c r="K3" s="7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ht="15">
      <c r="A4"/>
      <c r="B4" s="3" t="s">
        <v>47</v>
      </c>
      <c r="C4" s="26">
        <v>32321</v>
      </c>
      <c r="D4" s="26">
        <v>27497</v>
      </c>
      <c r="E4" s="26">
        <v>27407.25</v>
      </c>
      <c r="F4" s="26">
        <v>9135.75</v>
      </c>
      <c r="G4" s="26">
        <v>59818</v>
      </c>
      <c r="H4" s="27">
        <v>36543</v>
      </c>
      <c r="I4" s="2"/>
      <c r="J4" s="11"/>
      <c r="K4" s="11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15">
      <c r="A5"/>
      <c r="B5" s="3" t="s">
        <v>48</v>
      </c>
      <c r="C5" s="26">
        <v>34227</v>
      </c>
      <c r="D5" s="26">
        <v>36775</v>
      </c>
      <c r="E5" s="26">
        <v>22083</v>
      </c>
      <c r="F5" s="26">
        <v>7361</v>
      </c>
      <c r="G5" s="26">
        <v>71002</v>
      </c>
      <c r="H5" s="28">
        <v>29444</v>
      </c>
      <c r="I5" s="2"/>
      <c r="J5" s="11"/>
      <c r="K5" s="11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">
      <c r="A6"/>
      <c r="B6" s="3" t="s">
        <v>49</v>
      </c>
      <c r="C6" s="26">
        <v>26462</v>
      </c>
      <c r="D6" s="26">
        <v>35961</v>
      </c>
      <c r="E6" s="26">
        <v>20515.5</v>
      </c>
      <c r="F6" s="26">
        <v>6838.5</v>
      </c>
      <c r="G6" s="26">
        <v>62423</v>
      </c>
      <c r="H6" s="28">
        <v>27354</v>
      </c>
      <c r="I6" s="2"/>
      <c r="J6" s="11"/>
      <c r="K6" s="11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">
      <c r="A7"/>
      <c r="B7" s="3" t="s">
        <v>50</v>
      </c>
      <c r="C7" s="26">
        <v>25680</v>
      </c>
      <c r="D7" s="26">
        <v>28723</v>
      </c>
      <c r="E7" s="26">
        <v>24606</v>
      </c>
      <c r="F7" s="26">
        <v>8202</v>
      </c>
      <c r="G7" s="26">
        <v>54403</v>
      </c>
      <c r="H7" s="28">
        <v>32808</v>
      </c>
      <c r="I7" s="2"/>
      <c r="J7" s="11"/>
      <c r="K7" s="11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">
      <c r="A8"/>
      <c r="B8" s="3" t="s">
        <v>51</v>
      </c>
      <c r="C8" s="26">
        <v>34529</v>
      </c>
      <c r="D8" s="26">
        <v>24540</v>
      </c>
      <c r="E8" s="26">
        <v>19000.5</v>
      </c>
      <c r="F8" s="26">
        <v>6333.5</v>
      </c>
      <c r="G8" s="26">
        <v>59069</v>
      </c>
      <c r="H8" s="28">
        <v>25334</v>
      </c>
      <c r="I8" s="2"/>
      <c r="J8" s="11"/>
      <c r="K8" s="11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">
      <c r="A9"/>
      <c r="B9" s="3" t="s">
        <v>52</v>
      </c>
      <c r="C9" s="26">
        <v>25191</v>
      </c>
      <c r="D9" s="26">
        <v>33576</v>
      </c>
      <c r="E9" s="26">
        <v>19825.5</v>
      </c>
      <c r="F9" s="26">
        <v>6608.5</v>
      </c>
      <c r="G9" s="26">
        <v>58767</v>
      </c>
      <c r="H9" s="28">
        <v>26434</v>
      </c>
      <c r="I9" s="2"/>
      <c r="J9" s="11"/>
      <c r="K9" s="11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">
      <c r="A10"/>
      <c r="B10" s="3" t="s">
        <v>53</v>
      </c>
      <c r="C10" s="26">
        <v>25501</v>
      </c>
      <c r="D10" s="26">
        <v>30957</v>
      </c>
      <c r="E10" s="26">
        <v>21962.25</v>
      </c>
      <c r="F10" s="26">
        <v>7320.75</v>
      </c>
      <c r="G10" s="26">
        <v>56458</v>
      </c>
      <c r="H10" s="28">
        <v>29283</v>
      </c>
      <c r="I10" s="2"/>
      <c r="J10" s="11"/>
      <c r="K10" s="11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">
      <c r="A11"/>
      <c r="B11" s="3" t="s">
        <v>54</v>
      </c>
      <c r="C11" s="26">
        <v>36477</v>
      </c>
      <c r="D11" s="26">
        <v>31285</v>
      </c>
      <c r="E11" s="26">
        <v>27373.5</v>
      </c>
      <c r="F11" s="26">
        <v>9124.5</v>
      </c>
      <c r="G11" s="26">
        <v>67762</v>
      </c>
      <c r="H11" s="28">
        <v>36498</v>
      </c>
      <c r="I11" s="2"/>
      <c r="J11" s="11"/>
      <c r="K11" s="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">
      <c r="A12"/>
      <c r="B12" s="3" t="s">
        <v>55</v>
      </c>
      <c r="C12" s="26">
        <v>28342</v>
      </c>
      <c r="D12" s="26">
        <v>32473</v>
      </c>
      <c r="E12" s="26">
        <v>23274</v>
      </c>
      <c r="F12" s="26">
        <v>7758</v>
      </c>
      <c r="G12" s="26">
        <v>60815</v>
      </c>
      <c r="H12" s="28">
        <v>31032</v>
      </c>
      <c r="I12" s="2"/>
      <c r="J12" s="11"/>
      <c r="K12" s="11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">
      <c r="A13"/>
      <c r="B13" s="3" t="s">
        <v>56</v>
      </c>
      <c r="C13" s="26">
        <v>35852</v>
      </c>
      <c r="D13" s="26">
        <v>35881</v>
      </c>
      <c r="E13" s="26">
        <v>25558.5</v>
      </c>
      <c r="F13" s="26">
        <v>8519.5</v>
      </c>
      <c r="G13" s="26">
        <v>71733</v>
      </c>
      <c r="H13" s="28">
        <v>34078</v>
      </c>
      <c r="I13" s="2"/>
      <c r="J13" s="11"/>
      <c r="K13" s="11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">
      <c r="A14"/>
      <c r="B14" s="3" t="s">
        <v>14</v>
      </c>
      <c r="C14" s="26">
        <v>31571</v>
      </c>
      <c r="D14" s="26">
        <v>26456</v>
      </c>
      <c r="E14" s="26">
        <v>24951</v>
      </c>
      <c r="F14" s="26">
        <v>8317</v>
      </c>
      <c r="G14" s="26">
        <v>58027</v>
      </c>
      <c r="H14" s="28">
        <v>33268</v>
      </c>
      <c r="I14" s="2"/>
      <c r="J14" s="11"/>
      <c r="K14" s="11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">
      <c r="A15"/>
      <c r="B15" s="3" t="s">
        <v>57</v>
      </c>
      <c r="C15" s="26">
        <v>28629</v>
      </c>
      <c r="D15" s="26">
        <v>32064</v>
      </c>
      <c r="E15" s="26">
        <v>22278.75</v>
      </c>
      <c r="F15" s="26">
        <v>7426.25</v>
      </c>
      <c r="G15" s="26">
        <v>60693</v>
      </c>
      <c r="H15" s="28">
        <v>29705</v>
      </c>
      <c r="I15" s="2"/>
      <c r="J15" s="11"/>
      <c r="K15" s="11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">
      <c r="A16"/>
      <c r="B16" s="3"/>
      <c r="C16" s="2"/>
      <c r="D16" s="2"/>
      <c r="E16" s="2"/>
      <c r="F16" s="2"/>
      <c r="G16" s="2"/>
      <c r="H16" s="4"/>
      <c r="I16" s="2"/>
      <c r="J16" s="2"/>
      <c r="K16" s="2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">
      <c r="A17"/>
      <c r="B17" s="33" t="s">
        <v>36</v>
      </c>
      <c r="C17" s="39">
        <f>SUM(C4:C15)</f>
        <v>364782</v>
      </c>
      <c r="D17" s="39">
        <f>SUM(D4:D15)</f>
        <v>376188</v>
      </c>
      <c r="E17" s="39">
        <f>SUM(E4:E15)</f>
        <v>278835.75</v>
      </c>
      <c r="F17" s="39">
        <v>92945.25</v>
      </c>
      <c r="G17" s="40">
        <v>740970</v>
      </c>
      <c r="H17" s="40">
        <v>371781</v>
      </c>
      <c r="I17" s="8"/>
      <c r="J17" s="2"/>
      <c r="K17" s="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">
      <c r="A18"/>
      <c r="B18" s="2"/>
      <c r="C18" s="20"/>
      <c r="D18" s="20"/>
      <c r="E18" s="20"/>
      <c r="F18" s="20"/>
      <c r="G18" s="20"/>
      <c r="H18" s="20"/>
      <c r="I18" s="8"/>
      <c r="J18" s="2"/>
      <c r="K18" s="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">
      <c r="A19"/>
      <c r="B19" s="2"/>
      <c r="C19" s="20"/>
      <c r="D19" s="20"/>
      <c r="E19" s="20"/>
      <c r="F19" s="20"/>
      <c r="G19" s="20"/>
      <c r="H19" s="20"/>
      <c r="I19" s="8"/>
      <c r="J19" s="2"/>
      <c r="K19" s="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">
      <c r="A20"/>
      <c r="B20" s="19" t="s">
        <v>2</v>
      </c>
      <c r="C20" s="30">
        <v>740970</v>
      </c>
      <c r="D20" s="2"/>
      <c r="E20" s="2"/>
      <c r="F20" s="2"/>
      <c r="G20" s="2"/>
      <c r="H20" s="2"/>
      <c r="I20" s="2"/>
      <c r="J20" s="2"/>
      <c r="K20" s="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">
      <c r="A21"/>
      <c r="B21" s="3" t="s">
        <v>58</v>
      </c>
      <c r="C21" s="28">
        <v>371781</v>
      </c>
      <c r="D21" s="2"/>
      <c r="E21" s="2"/>
      <c r="F21" s="2"/>
      <c r="G21" s="2"/>
      <c r="H21" s="2"/>
      <c r="I21" s="2"/>
      <c r="J21" s="2"/>
      <c r="K21" s="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">
      <c r="A22"/>
      <c r="B22" s="5" t="s">
        <v>59</v>
      </c>
      <c r="C22" s="31">
        <v>369189</v>
      </c>
      <c r="D22"/>
      <c r="E22"/>
      <c r="F22" s="2"/>
      <c r="G22" s="2"/>
      <c r="H22" s="2"/>
      <c r="I22" s="2"/>
      <c r="J22" s="2"/>
      <c r="K22" s="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">
      <c r="B23"/>
      <c r="C23" s="2"/>
      <c r="D23" s="2"/>
      <c r="E23" s="2"/>
      <c r="F23" s="2"/>
      <c r="G23" s="2"/>
      <c r="H23" s="2"/>
      <c r="I23" s="2"/>
      <c r="J23" s="2"/>
      <c r="K23" s="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">
      <c r="B24"/>
      <c r="C24" s="2"/>
      <c r="D24" s="2"/>
      <c r="E24" s="2"/>
      <c r="F24" s="2"/>
      <c r="G24" s="2"/>
      <c r="H24" s="2"/>
      <c r="I24" s="2"/>
      <c r="J24" s="2"/>
      <c r="K24" s="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">
      <c r="B25"/>
      <c r="C25" s="2"/>
      <c r="D25" s="2"/>
      <c r="E25" s="2"/>
      <c r="F25" s="2"/>
      <c r="G25" s="2"/>
      <c r="H25" s="2"/>
      <c r="I25" s="2"/>
      <c r="J25" s="2"/>
      <c r="K25" s="2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">
      <c r="B26"/>
      <c r="C26" s="2"/>
      <c r="D26" s="2"/>
      <c r="E26" s="2"/>
      <c r="F26" s="2"/>
      <c r="G26" s="2"/>
      <c r="H26" s="2"/>
      <c r="I26" s="2"/>
      <c r="J26" s="2"/>
      <c r="K26" s="2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">
      <c r="B27"/>
      <c r="C27" s="2"/>
      <c r="D27" s="2"/>
      <c r="E27" s="2"/>
      <c r="F27" s="2"/>
      <c r="G27" s="2"/>
      <c r="H27" s="2"/>
      <c r="I27" s="2"/>
      <c r="J27" s="2"/>
      <c r="K27" s="2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2:27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2:27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2:27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2:27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2:27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2:27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2:27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2:27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2:27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2:27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2:27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2:27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2:27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2:27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2:27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2:27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2:27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2:27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2:27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2:27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2:27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2:27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2:27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2:27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2:27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2:27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2:27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2:27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2:27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2:27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2:27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2:27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2:27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2:27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2:27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2:27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2:27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2:27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2:27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2:27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2:27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2:27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2:27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2:27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2:27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2:27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2:27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2:27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2:27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2:27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2:27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2:27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2:27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2:27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2:27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2:27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2:27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2:27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2:27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2:27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</sheetData>
  <conditionalFormatting sqref="B4:H15">
    <cfRule type="expression" dxfId="3" priority="1">
      <formula>MOD(ROW(),2)=0</formula>
    </cfRule>
    <cfRule type="expression" priority="2">
      <formula>MOD(ROW(),2)=0</formula>
    </cfRule>
  </conditionalFormatting>
  <pageMargins left="0.70866141732283472" right="0.70866141732283472" top="0.74803149606299213" bottom="0.74803149606299213" header="0.31496062992125984" footer="0.31496062992125984"/>
  <pageSetup scale="76" orientation="landscape" r:id="rId1"/>
  <headerFooter>
    <oddHeader>&amp;R&amp;G</oddHeader>
    <oddFooter>&amp;L16 May 2024
EVA FITZPATRICK&amp;R&amp;P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745D6-970A-42FB-8244-44C5B435FBC8}">
  <sheetPr codeName="Sheet5">
    <pageSetUpPr fitToPage="1"/>
  </sheetPr>
  <dimension ref="A1:X102"/>
  <sheetViews>
    <sheetView view="pageLayout" zoomScaleNormal="100" workbookViewId="0">
      <selection activeCell="D11" sqref="D11"/>
    </sheetView>
  </sheetViews>
  <sheetFormatPr defaultColWidth="8.875" defaultRowHeight="14.25"/>
  <cols>
    <col min="1" max="1" width="8.875" style="1"/>
    <col min="2" max="2" width="15.875" style="1" bestFit="1" customWidth="1"/>
    <col min="3" max="5" width="17.25" style="1" customWidth="1"/>
    <col min="6" max="6" width="19.125" style="1" customWidth="1"/>
    <col min="7" max="7" width="17.25" style="1" customWidth="1"/>
    <col min="8" max="8" width="28.125" style="1" customWidth="1"/>
    <col min="9" max="16384" width="8.875" style="1"/>
  </cols>
  <sheetData>
    <row r="1" spans="1:24" s="9" customFormat="1" ht="15" customHeight="1">
      <c r="A1" s="22" t="s">
        <v>60</v>
      </c>
      <c r="B1" s="17"/>
      <c r="C1" s="17"/>
      <c r="D1" s="17"/>
      <c r="E1" s="17"/>
      <c r="F1" s="17"/>
      <c r="G1" s="17"/>
      <c r="H1" s="17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</row>
    <row r="2" spans="1:24" s="9" customFormat="1" ht="15.75">
      <c r="A2"/>
      <c r="B2"/>
      <c r="C2" s="7"/>
      <c r="D2" s="7"/>
      <c r="E2" s="7"/>
      <c r="F2" s="7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</row>
    <row r="3" spans="1:24" ht="15">
      <c r="A3"/>
      <c r="B3" s="23" t="s">
        <v>0</v>
      </c>
      <c r="C3" s="24" t="s">
        <v>41</v>
      </c>
      <c r="D3" s="24" t="s">
        <v>42</v>
      </c>
      <c r="E3" s="24" t="s">
        <v>43</v>
      </c>
      <c r="F3" s="24" t="s">
        <v>44</v>
      </c>
      <c r="G3" s="24" t="s">
        <v>45</v>
      </c>
      <c r="H3" s="25" t="s">
        <v>46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4" ht="15">
      <c r="A4"/>
      <c r="B4" s="3" t="s">
        <v>47</v>
      </c>
      <c r="C4" s="26">
        <v>27088</v>
      </c>
      <c r="D4" s="26">
        <v>24564</v>
      </c>
      <c r="E4" s="26">
        <v>24091.5</v>
      </c>
      <c r="F4" s="26">
        <v>8030.5</v>
      </c>
      <c r="G4" s="26">
        <v>51652</v>
      </c>
      <c r="H4" s="27">
        <v>32122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4" ht="15">
      <c r="A5"/>
      <c r="B5" s="3" t="s">
        <v>48</v>
      </c>
      <c r="C5" s="26">
        <v>32544</v>
      </c>
      <c r="D5" s="26">
        <v>32793</v>
      </c>
      <c r="E5" s="26">
        <v>18834</v>
      </c>
      <c r="F5" s="26">
        <v>6278</v>
      </c>
      <c r="G5" s="26">
        <v>65337</v>
      </c>
      <c r="H5" s="28">
        <v>25112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4" ht="15">
      <c r="A6"/>
      <c r="B6" s="3" t="s">
        <v>49</v>
      </c>
      <c r="C6" s="26">
        <v>35545</v>
      </c>
      <c r="D6" s="26">
        <v>31235</v>
      </c>
      <c r="E6" s="26">
        <v>26565.75</v>
      </c>
      <c r="F6" s="26">
        <v>8855.25</v>
      </c>
      <c r="G6" s="26">
        <v>66780</v>
      </c>
      <c r="H6" s="28">
        <v>35421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</row>
    <row r="7" spans="1:24" ht="15">
      <c r="A7"/>
      <c r="B7" s="3" t="s">
        <v>50</v>
      </c>
      <c r="C7" s="26">
        <v>30913</v>
      </c>
      <c r="D7" s="26">
        <v>29650</v>
      </c>
      <c r="E7" s="26">
        <v>21041.25</v>
      </c>
      <c r="F7" s="26">
        <v>7013.75</v>
      </c>
      <c r="G7" s="26">
        <v>60563</v>
      </c>
      <c r="H7" s="28">
        <v>28055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1:24" ht="15">
      <c r="A8"/>
      <c r="B8" s="3" t="s">
        <v>51</v>
      </c>
      <c r="C8" s="26">
        <v>27515</v>
      </c>
      <c r="D8" s="26">
        <v>31392</v>
      </c>
      <c r="E8" s="26">
        <v>22363.5</v>
      </c>
      <c r="F8" s="26">
        <v>7454.5</v>
      </c>
      <c r="G8" s="26">
        <v>58907</v>
      </c>
      <c r="H8" s="28">
        <v>29818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1:24" ht="15">
      <c r="A9"/>
      <c r="B9" s="3" t="s">
        <v>52</v>
      </c>
      <c r="C9" s="26">
        <v>32640</v>
      </c>
      <c r="D9" s="26">
        <v>35151</v>
      </c>
      <c r="E9" s="26">
        <v>22850.25</v>
      </c>
      <c r="F9" s="26">
        <v>7616.75</v>
      </c>
      <c r="G9" s="26">
        <v>67791</v>
      </c>
      <c r="H9" s="28">
        <v>30467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1:24" ht="15">
      <c r="A10"/>
      <c r="B10" s="3" t="s">
        <v>53</v>
      </c>
      <c r="C10" s="26">
        <v>27708</v>
      </c>
      <c r="D10" s="26">
        <v>32584</v>
      </c>
      <c r="E10" s="26">
        <v>26317.5</v>
      </c>
      <c r="F10" s="26">
        <v>8772.5</v>
      </c>
      <c r="G10" s="26">
        <v>60292</v>
      </c>
      <c r="H10" s="28">
        <v>35090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1:24" ht="15">
      <c r="A11"/>
      <c r="B11" s="3" t="s">
        <v>54</v>
      </c>
      <c r="C11" s="26">
        <v>28889</v>
      </c>
      <c r="D11" s="26">
        <v>31540</v>
      </c>
      <c r="E11" s="26">
        <v>21267.75</v>
      </c>
      <c r="F11" s="26">
        <v>7089.25</v>
      </c>
      <c r="G11" s="26">
        <v>60429</v>
      </c>
      <c r="H11" s="28">
        <v>28357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1:24" ht="15">
      <c r="A12"/>
      <c r="B12" s="3" t="s">
        <v>55</v>
      </c>
      <c r="C12" s="26">
        <v>26209</v>
      </c>
      <c r="D12" s="26">
        <v>32022</v>
      </c>
      <c r="E12" s="26">
        <v>26943</v>
      </c>
      <c r="F12" s="26">
        <v>8981</v>
      </c>
      <c r="G12" s="26">
        <v>58231</v>
      </c>
      <c r="H12" s="28">
        <v>35924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1:24" ht="15">
      <c r="A13"/>
      <c r="B13" s="3" t="s">
        <v>56</v>
      </c>
      <c r="C13" s="26">
        <v>25422</v>
      </c>
      <c r="D13" s="26">
        <v>25074</v>
      </c>
      <c r="E13" s="26">
        <v>25694.25</v>
      </c>
      <c r="F13" s="26">
        <v>8564.75</v>
      </c>
      <c r="G13" s="26">
        <v>50496</v>
      </c>
      <c r="H13" s="28">
        <v>34259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1:24" ht="15">
      <c r="A14"/>
      <c r="B14" s="3" t="s">
        <v>14</v>
      </c>
      <c r="C14" s="26">
        <v>31470</v>
      </c>
      <c r="D14" s="26">
        <v>32798</v>
      </c>
      <c r="E14" s="26">
        <v>18161.25</v>
      </c>
      <c r="F14" s="26">
        <v>6053.75</v>
      </c>
      <c r="G14" s="26">
        <v>64268</v>
      </c>
      <c r="H14" s="28">
        <v>24215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1:24" ht="15">
      <c r="A15"/>
      <c r="B15" s="3" t="s">
        <v>57</v>
      </c>
      <c r="C15" s="26">
        <v>28557</v>
      </c>
      <c r="D15" s="26">
        <v>34648</v>
      </c>
      <c r="E15" s="26">
        <v>18384</v>
      </c>
      <c r="F15" s="26">
        <v>6128</v>
      </c>
      <c r="G15" s="26">
        <v>63205</v>
      </c>
      <c r="H15" s="28">
        <v>24512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24" ht="15">
      <c r="A16"/>
      <c r="B16" s="3"/>
      <c r="C16" s="2"/>
      <c r="D16" s="2"/>
      <c r="E16" s="2"/>
      <c r="F16" s="2"/>
      <c r="G16" s="2"/>
      <c r="H16" s="4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ht="15">
      <c r="A17"/>
      <c r="B17" s="33" t="s">
        <v>36</v>
      </c>
      <c r="C17" s="39">
        <f>SUM(C4:C15)</f>
        <v>354500</v>
      </c>
      <c r="D17" s="39">
        <f>SUM(D4:D15)</f>
        <v>373451</v>
      </c>
      <c r="E17" s="39">
        <v>272514</v>
      </c>
      <c r="F17" s="39">
        <v>90838</v>
      </c>
      <c r="G17" s="40">
        <v>727951</v>
      </c>
      <c r="H17" s="40">
        <v>363352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ht="15">
      <c r="A18"/>
      <c r="B18" s="2"/>
      <c r="C18" s="20"/>
      <c r="D18" s="20"/>
      <c r="E18" s="20"/>
      <c r="F18" s="20"/>
      <c r="G18" s="20"/>
      <c r="H18" s="20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ht="15">
      <c r="A19"/>
      <c r="B19" s="2"/>
      <c r="C19" s="20"/>
      <c r="D19" s="20"/>
      <c r="E19" s="20"/>
      <c r="F19" s="20"/>
      <c r="G19" s="20"/>
      <c r="H19" s="20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ht="15">
      <c r="A20"/>
      <c r="B20" s="19" t="s">
        <v>2</v>
      </c>
      <c r="C20" s="30">
        <v>727951</v>
      </c>
      <c r="D20" s="2"/>
      <c r="E20" s="2"/>
      <c r="F20" s="2"/>
      <c r="G20" s="2"/>
      <c r="H20" s="2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ht="15">
      <c r="A21"/>
      <c r="B21" s="3" t="s">
        <v>58</v>
      </c>
      <c r="C21" s="28">
        <v>363352</v>
      </c>
      <c r="D21" s="2"/>
      <c r="E21" s="2"/>
      <c r="F21" s="2"/>
      <c r="G21" s="2"/>
      <c r="H21" s="2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ht="15">
      <c r="A22"/>
      <c r="B22" s="5" t="s">
        <v>59</v>
      </c>
      <c r="C22" s="31">
        <v>364599</v>
      </c>
      <c r="D22"/>
      <c r="E22"/>
      <c r="F22" s="2"/>
      <c r="G22" s="2"/>
      <c r="H22" s="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ht="15">
      <c r="B23"/>
      <c r="C23" s="2"/>
      <c r="D23" s="2"/>
      <c r="E23" s="2"/>
      <c r="F23" s="2"/>
      <c r="G23" s="2"/>
      <c r="H23" s="2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ht="15">
      <c r="B24"/>
      <c r="C24" s="2"/>
      <c r="D24" s="2"/>
      <c r="E24" s="2"/>
      <c r="F24" s="2"/>
      <c r="G24" s="2"/>
      <c r="H24" s="2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ht="15">
      <c r="B25"/>
      <c r="C25" s="2"/>
      <c r="D25" s="2"/>
      <c r="E25" s="2"/>
      <c r="F25" s="2"/>
      <c r="G25" s="2"/>
      <c r="H25" s="2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>
      <c r="B26"/>
      <c r="C26" s="2"/>
      <c r="D26" s="2"/>
      <c r="E26" s="2"/>
      <c r="F26" s="2"/>
      <c r="G26" s="2"/>
      <c r="H26" s="2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ht="15">
      <c r="B27"/>
      <c r="C27" s="2"/>
      <c r="D27" s="2"/>
      <c r="E27" s="2"/>
      <c r="F27" s="2"/>
      <c r="G27" s="2"/>
      <c r="H27" s="2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2:24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2:24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2:24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2:24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2:24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2:24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2:24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2:24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2:24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2:24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2:24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2:24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2:24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2:24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2:24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2:24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2:24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2:24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2:24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2:24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2:24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2:24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2:24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2:24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2:24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2:24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2:24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2:24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2:24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2:24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2:24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2:24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2:24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2:24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2:24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2:24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2:24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2:24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2:24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2:24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2:24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2:24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2:24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2:24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2:24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2:24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2:24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2:24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2:24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2:24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2:24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2:24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2:24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2:24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2:24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2:24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2:24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2:24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2:24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2:24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2:24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2:24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2:24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2:24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2:24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2:24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2:24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2:24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2:24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2:24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</sheetData>
  <conditionalFormatting sqref="B4:H15">
    <cfRule type="expression" dxfId="2" priority="1">
      <formula>MOD(ROW(),2)=0</formula>
    </cfRule>
    <cfRule type="expression" priority="2">
      <formula>MOD(ROW(),2)=0</formula>
    </cfRule>
  </conditionalFormatting>
  <pageMargins left="0.70866141732283472" right="0.70866141732283472" top="0.74803149606299213" bottom="0.74803149606299213" header="0.31496062992125984" footer="0.31496062992125984"/>
  <pageSetup scale="79" orientation="landscape" r:id="rId1"/>
  <headerFooter>
    <oddHeader>&amp;R&amp;G</oddHeader>
    <oddFooter>&amp;L16 May 2024
EVA FITZPATRICK&amp;R&amp;P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EF2A7-3D37-48A6-9D95-D3C534E7CC02}">
  <sheetPr codeName="Sheet6">
    <pageSetUpPr fitToPage="1"/>
  </sheetPr>
  <dimension ref="A1:AA102"/>
  <sheetViews>
    <sheetView view="pageLayout" zoomScaleNormal="100" workbookViewId="0">
      <selection activeCell="G24" sqref="G24"/>
    </sheetView>
  </sheetViews>
  <sheetFormatPr defaultColWidth="8.875" defaultRowHeight="14.25"/>
  <cols>
    <col min="1" max="1" width="8.875" style="1"/>
    <col min="2" max="2" width="15.875" style="1" bestFit="1" customWidth="1"/>
    <col min="3" max="8" width="21.125" style="1" customWidth="1"/>
    <col min="9" max="16384" width="8.875" style="1"/>
  </cols>
  <sheetData>
    <row r="1" spans="1:27" s="10" customFormat="1" ht="15" customHeight="1">
      <c r="A1" s="22" t="s">
        <v>61</v>
      </c>
      <c r="B1" s="17"/>
      <c r="C1" s="17"/>
      <c r="D1" s="17"/>
      <c r="E1" s="17"/>
      <c r="F1" s="17"/>
      <c r="G1" s="17"/>
      <c r="H1" s="17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s="10" customFormat="1" ht="15" customHeight="1">
      <c r="A2"/>
      <c r="B2"/>
      <c r="C2" s="7"/>
      <c r="D2" s="7"/>
      <c r="E2" s="7"/>
      <c r="F2" s="7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15.75">
      <c r="A3"/>
      <c r="B3" s="23" t="s">
        <v>0</v>
      </c>
      <c r="C3" s="24" t="s">
        <v>41</v>
      </c>
      <c r="D3" s="24" t="s">
        <v>42</v>
      </c>
      <c r="E3" s="24" t="s">
        <v>43</v>
      </c>
      <c r="F3" s="24" t="s">
        <v>44</v>
      </c>
      <c r="G3" s="24" t="s">
        <v>45</v>
      </c>
      <c r="H3" s="25" t="s">
        <v>46</v>
      </c>
      <c r="I3" s="7"/>
      <c r="J3" s="7"/>
      <c r="K3" s="7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ht="15">
      <c r="A4"/>
      <c r="B4" s="3" t="s">
        <v>47</v>
      </c>
      <c r="C4" s="26">
        <v>28467</v>
      </c>
      <c r="D4" s="26">
        <v>25698</v>
      </c>
      <c r="E4" s="26">
        <v>18498</v>
      </c>
      <c r="F4" s="26">
        <v>6166</v>
      </c>
      <c r="G4" s="26">
        <v>54165</v>
      </c>
      <c r="H4" s="27">
        <v>24664</v>
      </c>
      <c r="I4" s="2"/>
      <c r="J4" s="11"/>
      <c r="K4" s="11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15">
      <c r="A5"/>
      <c r="B5" s="3" t="s">
        <v>48</v>
      </c>
      <c r="C5" s="26">
        <v>26579</v>
      </c>
      <c r="D5" s="26">
        <v>32517</v>
      </c>
      <c r="E5" s="26">
        <v>20348.25</v>
      </c>
      <c r="F5" s="26">
        <v>6782.75</v>
      </c>
      <c r="G5" s="26">
        <v>59096</v>
      </c>
      <c r="H5" s="28">
        <v>27131</v>
      </c>
      <c r="I5" s="2"/>
      <c r="J5" s="11"/>
      <c r="K5" s="11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">
      <c r="A6"/>
      <c r="B6" s="3" t="s">
        <v>49</v>
      </c>
      <c r="C6" s="26">
        <v>29424</v>
      </c>
      <c r="D6" s="26">
        <v>27189</v>
      </c>
      <c r="E6" s="26">
        <v>26954.25</v>
      </c>
      <c r="F6" s="26">
        <v>8984.75</v>
      </c>
      <c r="G6" s="26">
        <v>56613</v>
      </c>
      <c r="H6" s="28">
        <v>35939</v>
      </c>
      <c r="I6" s="2"/>
      <c r="J6" s="11"/>
      <c r="K6" s="11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">
      <c r="A7"/>
      <c r="B7" s="3" t="s">
        <v>50</v>
      </c>
      <c r="C7" s="26">
        <v>33587</v>
      </c>
      <c r="D7" s="26">
        <v>30830</v>
      </c>
      <c r="E7" s="26">
        <v>19240.5</v>
      </c>
      <c r="F7" s="26">
        <v>6413.5</v>
      </c>
      <c r="G7" s="26">
        <v>64417</v>
      </c>
      <c r="H7" s="28">
        <v>25654</v>
      </c>
      <c r="I7" s="2"/>
      <c r="J7" s="11"/>
      <c r="K7" s="11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">
      <c r="A8"/>
      <c r="B8" s="3" t="s">
        <v>51</v>
      </c>
      <c r="C8" s="26">
        <v>24476</v>
      </c>
      <c r="D8" s="26">
        <v>32109</v>
      </c>
      <c r="E8" s="26">
        <v>20725.5</v>
      </c>
      <c r="F8" s="26">
        <v>6908.5</v>
      </c>
      <c r="G8" s="26">
        <v>56585</v>
      </c>
      <c r="H8" s="28">
        <v>27634</v>
      </c>
      <c r="I8" s="2"/>
      <c r="J8" s="11"/>
      <c r="K8" s="11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">
      <c r="A9"/>
      <c r="B9" s="3" t="s">
        <v>52</v>
      </c>
      <c r="C9" s="26">
        <v>29058</v>
      </c>
      <c r="D9" s="26">
        <v>32834</v>
      </c>
      <c r="E9" s="26">
        <v>20595.75</v>
      </c>
      <c r="F9" s="26">
        <v>6865.25</v>
      </c>
      <c r="G9" s="26">
        <v>61892</v>
      </c>
      <c r="H9" s="28">
        <v>27461</v>
      </c>
      <c r="I9" s="2"/>
      <c r="J9" s="11"/>
      <c r="K9" s="11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">
      <c r="A10"/>
      <c r="B10" s="3" t="s">
        <v>53</v>
      </c>
      <c r="C10" s="26">
        <v>32691</v>
      </c>
      <c r="D10" s="26">
        <v>29715</v>
      </c>
      <c r="E10" s="26">
        <v>19171.5</v>
      </c>
      <c r="F10" s="26">
        <v>6390.5</v>
      </c>
      <c r="G10" s="26">
        <v>62406</v>
      </c>
      <c r="H10" s="28">
        <v>25562</v>
      </c>
      <c r="I10" s="2"/>
      <c r="J10" s="11"/>
      <c r="K10" s="11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">
      <c r="A11"/>
      <c r="B11" s="3" t="s">
        <v>54</v>
      </c>
      <c r="C11" s="26">
        <v>35105</v>
      </c>
      <c r="D11" s="26">
        <v>25457</v>
      </c>
      <c r="E11" s="26">
        <v>22087.5</v>
      </c>
      <c r="F11" s="26">
        <v>7362.5</v>
      </c>
      <c r="G11" s="26">
        <v>60562</v>
      </c>
      <c r="H11" s="28">
        <v>29450</v>
      </c>
      <c r="I11" s="2"/>
      <c r="J11" s="11"/>
      <c r="K11" s="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">
      <c r="A12"/>
      <c r="B12" s="3" t="s">
        <v>55</v>
      </c>
      <c r="C12" s="26">
        <v>32576</v>
      </c>
      <c r="D12" s="26">
        <v>30555</v>
      </c>
      <c r="E12" s="26">
        <v>25329.75</v>
      </c>
      <c r="F12" s="26">
        <v>8443.25</v>
      </c>
      <c r="G12" s="26">
        <v>63131</v>
      </c>
      <c r="H12" s="28">
        <v>33773</v>
      </c>
      <c r="I12" s="2"/>
      <c r="J12" s="11"/>
      <c r="K12" s="11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">
      <c r="A13"/>
      <c r="B13" s="3" t="s">
        <v>56</v>
      </c>
      <c r="C13" s="26">
        <v>30238</v>
      </c>
      <c r="D13" s="26">
        <v>29770</v>
      </c>
      <c r="E13" s="26">
        <v>24042.75</v>
      </c>
      <c r="F13" s="26">
        <v>8014.25</v>
      </c>
      <c r="G13" s="26">
        <v>60008</v>
      </c>
      <c r="H13" s="28">
        <v>32057</v>
      </c>
      <c r="I13" s="2"/>
      <c r="J13" s="11"/>
      <c r="K13" s="11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">
      <c r="A14"/>
      <c r="B14" s="3" t="s">
        <v>14</v>
      </c>
      <c r="C14" s="26">
        <v>29706</v>
      </c>
      <c r="D14" s="26">
        <v>32858</v>
      </c>
      <c r="E14" s="26">
        <v>19714.5</v>
      </c>
      <c r="F14" s="26">
        <v>6571.5</v>
      </c>
      <c r="G14" s="26">
        <v>62564</v>
      </c>
      <c r="H14" s="28">
        <v>26286</v>
      </c>
      <c r="I14" s="2"/>
      <c r="J14" s="11"/>
      <c r="K14" s="11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">
      <c r="A15"/>
      <c r="B15" s="3" t="s">
        <v>57</v>
      </c>
      <c r="C15" s="26">
        <v>25738</v>
      </c>
      <c r="D15" s="26">
        <v>34143</v>
      </c>
      <c r="E15" s="26">
        <v>21023.25</v>
      </c>
      <c r="F15" s="26">
        <v>7007.75</v>
      </c>
      <c r="G15" s="26">
        <v>59881</v>
      </c>
      <c r="H15" s="28">
        <v>28031</v>
      </c>
      <c r="I15" s="2"/>
      <c r="J15" s="11"/>
      <c r="K15" s="11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">
      <c r="A16"/>
      <c r="B16" s="3"/>
      <c r="C16" s="2"/>
      <c r="D16" s="2"/>
      <c r="E16" s="2"/>
      <c r="F16" s="2"/>
      <c r="G16" s="2"/>
      <c r="H16" s="4"/>
      <c r="I16" s="2"/>
      <c r="J16" s="2"/>
      <c r="K16" s="2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">
      <c r="A17"/>
      <c r="B17" s="33" t="s">
        <v>36</v>
      </c>
      <c r="C17" s="39">
        <f>SUM(C4:C15)</f>
        <v>357645</v>
      </c>
      <c r="D17" s="39">
        <f>SUM(D4:D15)</f>
        <v>363675</v>
      </c>
      <c r="E17" s="39">
        <v>257731.5</v>
      </c>
      <c r="F17" s="39">
        <v>85910.5</v>
      </c>
      <c r="G17" s="40">
        <v>721320</v>
      </c>
      <c r="H17" s="40">
        <v>343642</v>
      </c>
      <c r="I17" s="8"/>
      <c r="J17" s="2"/>
      <c r="K17" s="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">
      <c r="A18"/>
      <c r="B18" s="2"/>
      <c r="C18" s="20"/>
      <c r="D18" s="20"/>
      <c r="E18" s="20"/>
      <c r="F18" s="20"/>
      <c r="G18" s="20"/>
      <c r="H18" s="20"/>
      <c r="I18" s="8"/>
      <c r="J18" s="2"/>
      <c r="K18" s="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">
      <c r="A19"/>
      <c r="B19" s="2"/>
      <c r="C19" s="20"/>
      <c r="D19" s="20"/>
      <c r="E19" s="20"/>
      <c r="F19" s="20"/>
      <c r="G19" s="20"/>
      <c r="H19" s="20"/>
      <c r="I19" s="8"/>
      <c r="J19" s="2"/>
      <c r="K19" s="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">
      <c r="A20"/>
      <c r="B20" s="19" t="s">
        <v>2</v>
      </c>
      <c r="C20" s="30">
        <v>721320</v>
      </c>
      <c r="D20" s="2"/>
      <c r="E20" s="2"/>
      <c r="F20" s="2"/>
      <c r="G20" s="2"/>
      <c r="H20" s="2"/>
      <c r="I20" s="2"/>
      <c r="J20" s="2"/>
      <c r="K20" s="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">
      <c r="A21"/>
      <c r="B21" s="3" t="s">
        <v>58</v>
      </c>
      <c r="C21" s="28">
        <v>343642</v>
      </c>
      <c r="D21" s="2"/>
      <c r="E21" s="2"/>
      <c r="F21" s="2"/>
      <c r="G21" s="2"/>
      <c r="H21" s="2"/>
      <c r="I21" s="2"/>
      <c r="J21" s="2"/>
      <c r="K21" s="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">
      <c r="A22"/>
      <c r="B22" s="5" t="s">
        <v>59</v>
      </c>
      <c r="C22" s="31">
        <v>377678</v>
      </c>
      <c r="D22"/>
      <c r="E22"/>
      <c r="F22" s="2"/>
      <c r="G22" s="2"/>
      <c r="H22" s="2"/>
      <c r="I22" s="2"/>
      <c r="J22" s="2"/>
      <c r="K22" s="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">
      <c r="B23"/>
      <c r="C23" s="2"/>
      <c r="D23" s="2"/>
      <c r="E23" s="2"/>
      <c r="F23" s="2"/>
      <c r="G23" s="2"/>
      <c r="H23" s="2"/>
      <c r="I23" s="2"/>
      <c r="J23" s="2"/>
      <c r="K23" s="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">
      <c r="B24"/>
      <c r="C24" s="2"/>
      <c r="D24" s="2"/>
      <c r="E24" s="2"/>
      <c r="F24" s="2"/>
      <c r="G24" s="2"/>
      <c r="H24" s="2"/>
      <c r="I24" s="2"/>
      <c r="J24" s="2"/>
      <c r="K24" s="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">
      <c r="B25"/>
      <c r="C25" s="2"/>
      <c r="D25" s="2"/>
      <c r="E25" s="2"/>
      <c r="F25" s="2"/>
      <c r="G25" s="2"/>
      <c r="H25" s="2"/>
      <c r="I25" s="2"/>
      <c r="J25" s="2"/>
      <c r="K25" s="2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">
      <c r="B26"/>
      <c r="C26" s="2"/>
      <c r="D26" s="2"/>
      <c r="E26" s="2"/>
      <c r="F26" s="2"/>
      <c r="G26" s="2"/>
      <c r="H26" s="2"/>
      <c r="I26" s="2"/>
      <c r="J26" s="2"/>
      <c r="K26" s="2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">
      <c r="B27"/>
      <c r="C27" s="2"/>
      <c r="D27" s="2"/>
      <c r="E27" s="2"/>
      <c r="F27" s="2"/>
      <c r="G27" s="2"/>
      <c r="H27" s="2"/>
      <c r="I27" s="2"/>
      <c r="J27" s="2"/>
      <c r="K27" s="2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2:27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2:27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2:27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2:27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2:27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2:27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2:27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2:27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2:27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2:27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2:27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2:27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2:27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2:27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2:27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2:27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2:27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2:27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2:27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2:27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2:27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2:27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2:27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2:27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2:27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2:27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2:27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2:27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2:27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2:27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2:27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2:27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2:27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2:27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2:27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2:27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2:27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2:27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2:27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2:27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2:27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2:27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2:27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2:27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2:27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2:27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2:27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2:27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2:27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2:27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2:27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2:27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2:27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2:27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2:27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2:27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2:27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2:27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2:27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2:27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</sheetData>
  <conditionalFormatting sqref="B4:H15">
    <cfRule type="expression" dxfId="1" priority="1">
      <formula>MOD(ROW(),2)=0</formula>
    </cfRule>
    <cfRule type="expression" priority="2">
      <formula>MOD(ROW(),2)=0</formula>
    </cfRule>
  </conditionalFormatting>
  <pageMargins left="0.70866141732283472" right="0.70866141732283472" top="0.74803149606299213" bottom="0.74803149606299213" header="0.31496062992125984" footer="0.31496062992125984"/>
  <pageSetup scale="74" orientation="landscape" r:id="rId1"/>
  <headerFooter>
    <oddHeader>&amp;R&amp;G</oddHeader>
    <oddFooter>&amp;L16 May 2024
EVA FITZPATRICK&amp;R&amp;P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3D994-5D41-41C9-AFD1-4F5E50B2C6CA}">
  <sheetPr codeName="Sheet7">
    <pageSetUpPr fitToPage="1"/>
  </sheetPr>
  <dimension ref="B3:J14"/>
  <sheetViews>
    <sheetView view="pageLayout" zoomScaleNormal="100" workbookViewId="0">
      <selection activeCell="E22" sqref="E22"/>
    </sheetView>
  </sheetViews>
  <sheetFormatPr defaultRowHeight="14.25"/>
  <cols>
    <col min="2" max="2" width="29.25" customWidth="1"/>
    <col min="3" max="3" width="18.5" customWidth="1"/>
    <col min="4" max="4" width="27.25" customWidth="1"/>
    <col min="5" max="5" width="24.5" customWidth="1"/>
    <col min="6" max="6" width="16.75" customWidth="1"/>
    <col min="7" max="7" width="14.375" customWidth="1"/>
    <col min="8" max="8" width="15.125" customWidth="1"/>
    <col min="9" max="9" width="14.5" customWidth="1"/>
    <col min="10" max="10" width="18" customWidth="1"/>
  </cols>
  <sheetData>
    <row r="3" spans="2:10" ht="15">
      <c r="G3" s="41"/>
      <c r="H3" s="24" t="s">
        <v>2</v>
      </c>
      <c r="I3" s="24" t="s">
        <v>1</v>
      </c>
      <c r="J3" s="25" t="s">
        <v>69</v>
      </c>
    </row>
    <row r="4" spans="2:10" ht="15">
      <c r="G4" s="50" t="s">
        <v>67</v>
      </c>
      <c r="H4" s="2">
        <f>'4a Sales Figures Ringwood'!C20</f>
        <v>740970</v>
      </c>
      <c r="I4" s="2">
        <f>'4a Sales Figures Ringwood'!C21</f>
        <v>371781</v>
      </c>
      <c r="J4" s="4">
        <f>'4a Sales Figures Ringwood'!C22</f>
        <v>369189</v>
      </c>
    </row>
    <row r="5" spans="2:10" ht="15">
      <c r="B5" s="41"/>
      <c r="C5" s="24" t="s">
        <v>2</v>
      </c>
      <c r="D5" s="24" t="s">
        <v>1</v>
      </c>
      <c r="E5" s="25" t="s">
        <v>69</v>
      </c>
      <c r="G5" s="50" t="s">
        <v>70</v>
      </c>
      <c r="H5" s="2">
        <f>'4a Sales Figures Werribee'!C20</f>
        <v>727951</v>
      </c>
      <c r="I5" s="2">
        <f>'4a Sales Figures Werribee'!C21</f>
        <v>363352</v>
      </c>
      <c r="J5" s="4">
        <f>'4a Sales Figures Werribee'!C22</f>
        <v>364599</v>
      </c>
    </row>
    <row r="6" spans="2:10" ht="15">
      <c r="B6" s="5" t="s">
        <v>75</v>
      </c>
      <c r="C6" s="42" cm="1">
        <f t="array" aca="1" ref="C6" ca="1">IF($B$6&lt;&gt;"", INDIRECT("'" &amp; $B$6 &amp; "'!G17"), "")</f>
        <v>721320</v>
      </c>
      <c r="D6" s="42" cm="1">
        <f t="array" aca="1" ref="D6" ca="1">IF($B$6&lt;&gt;"", INDIRECT("'" &amp; $B$6 &amp; "'!H17"), "")</f>
        <v>343642</v>
      </c>
      <c r="E6" s="43">
        <f ca="1">C6-D6</f>
        <v>377678</v>
      </c>
      <c r="G6" s="50" t="s">
        <v>68</v>
      </c>
      <c r="H6" s="2">
        <f>'4a Sales Figures Glen Waverley'!C20</f>
        <v>721320</v>
      </c>
      <c r="I6" s="2">
        <f>'4a Sales Figures Glen Waverley'!C21</f>
        <v>343642</v>
      </c>
      <c r="J6" s="4">
        <f>'4a Sales Figures Glen Waverley'!C22</f>
        <v>377678</v>
      </c>
    </row>
    <row r="7" spans="2:10" ht="15">
      <c r="G7" s="51" t="s">
        <v>71</v>
      </c>
      <c r="H7" s="6">
        <f>'3b Essendon Data'!C20</f>
        <v>500355</v>
      </c>
      <c r="I7" s="6">
        <f>'3b Essendon Data'!C21</f>
        <v>300883</v>
      </c>
      <c r="J7" s="49">
        <f>'3b Essendon Data'!C22</f>
        <v>199472</v>
      </c>
    </row>
    <row r="8" spans="2:10" ht="15">
      <c r="B8" s="12"/>
      <c r="C8" s="2"/>
      <c r="D8" s="2"/>
      <c r="E8" s="2"/>
    </row>
    <row r="9" spans="2:10" ht="15">
      <c r="C9" s="2"/>
      <c r="D9" s="2"/>
      <c r="E9" s="2"/>
    </row>
    <row r="10" spans="2:10" ht="15">
      <c r="C10" s="2"/>
      <c r="D10" s="2"/>
      <c r="E10" s="2"/>
      <c r="H10" s="13"/>
    </row>
    <row r="11" spans="2:10" ht="15.75">
      <c r="B11" s="44" t="s">
        <v>72</v>
      </c>
      <c r="C11" s="45">
        <f>MAX(H4:H7)</f>
        <v>740970</v>
      </c>
      <c r="D11" s="46">
        <f>MAX(I4:I7)</f>
        <v>371781</v>
      </c>
      <c r="E11" s="47">
        <f>MAX(J4:J7)</f>
        <v>377678</v>
      </c>
    </row>
    <row r="12" spans="2:10" ht="15.75">
      <c r="B12" s="48" t="s">
        <v>73</v>
      </c>
      <c r="C12" s="6" t="str">
        <f>INDEX($G$4:$G$7, MATCH(C11, H4:H7, 0))</f>
        <v>Ringwood</v>
      </c>
      <c r="D12" s="6" t="str">
        <f>INDEX($G$4:$G$7, MATCH(D11, I4:I7, 0))</f>
        <v>Ringwood</v>
      </c>
      <c r="E12" s="49" t="str">
        <f>INDEX($G$4:$G$7, MATCH(E11, J4:J7, 0))</f>
        <v>Glen Waverley</v>
      </c>
    </row>
    <row r="13" spans="2:10" ht="15">
      <c r="D13" s="13"/>
    </row>
    <row r="14" spans="2:10" ht="15">
      <c r="D14" s="13"/>
    </row>
  </sheetData>
  <conditionalFormatting sqref="G4:J7">
    <cfRule type="expression" dxfId="0" priority="1">
      <formula>MOD(ROW(),2)=0</formula>
    </cfRule>
  </conditionalFormatting>
  <dataValidations count="2">
    <dataValidation type="list" allowBlank="1" showInputMessage="1" showErrorMessage="1" sqref="B2" xr:uid="{3BC1972E-B29E-440A-90EC-7F3EFE640B56}">
      <formula1>"Ringwood, Glen Waverley, Werribee, Essendon"</formula1>
    </dataValidation>
    <dataValidation type="list" allowBlank="1" showInputMessage="1" showErrorMessage="1" sqref="B6" xr:uid="{C0FE5ABC-2EB8-41DB-8BF4-AE797204541D}">
      <formula1>"3b Essendon Data,4a Sales Figures Ringwood,4a Sales Figures Werribee, 4a Sales Figures Glen Waverley"</formula1>
    </dataValidation>
  </dataValidations>
  <pageMargins left="0.70866141732283472" right="0.70866141732283472" top="0.74803149606299213" bottom="0.74803149606299213" header="0.31496062992125984" footer="0.31496062992125984"/>
  <pageSetup scale="60" orientation="landscape" r:id="rId1"/>
  <headerFooter>
    <oddHeader>&amp;R&amp;G</oddHeader>
    <oddFooter>&amp;L16 May 2024
EVA FITZPATRICK&amp;R&amp;P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B35A1-7E16-4406-A094-0E3D9669997B}">
  <sheetPr codeName="Sheet8">
    <pageSetUpPr fitToPage="1"/>
  </sheetPr>
  <dimension ref="A1"/>
  <sheetViews>
    <sheetView view="pageLayout" zoomScaleNormal="130" workbookViewId="0">
      <selection sqref="A1:XFD1048576"/>
    </sheetView>
  </sheetViews>
  <sheetFormatPr defaultColWidth="9.125" defaultRowHeight="14.25"/>
  <cols>
    <col min="1" max="16384" width="9.125" style="52"/>
  </cols>
  <sheetData/>
  <mergeCells count="1">
    <mergeCell ref="A1:XFD1048576"/>
  </mergeCells>
  <pageMargins left="0.70866141732283472" right="0.70866141732283472" top="0.74803149606299213" bottom="0.74803149606299213" header="0.31496062992125984" footer="0.31496062992125984"/>
  <pageSetup scale="56" orientation="landscape" r:id="rId1"/>
  <headerFooter>
    <oddHeader>&amp;R&amp;G</oddHeader>
    <oddFooter>&amp;L13 May 2024
EVA FITZPATRICK&amp;R&amp;P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3b Essendon Data</vt:lpstr>
      <vt:lpstr>3b Charts</vt:lpstr>
      <vt:lpstr>3c Drinks Sales Analysis for 7 </vt:lpstr>
      <vt:lpstr>4a Sales Figures Ringwood</vt:lpstr>
      <vt:lpstr>4a Sales Figures Werribee</vt:lpstr>
      <vt:lpstr>4a Sales Figures Glen Waverley</vt:lpstr>
      <vt:lpstr>4b Consolidated Cafe Data</vt:lpstr>
      <vt:lpstr>5a, 5b ,5c</vt:lpstr>
      <vt:lpstr>3c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dcterms:created xsi:type="dcterms:W3CDTF">2024-05-03T19:03:18Z</dcterms:created>
  <dcterms:modified xsi:type="dcterms:W3CDTF">2024-05-18T05:48:43Z</dcterms:modified>
</cp:coreProperties>
</file>